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16A52631-6761-4EB0-8E9B-275EE67523C6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Instructions" sheetId="1" r:id="rId1"/>
    <sheet name="Trial Balance" sheetId="2" r:id="rId2"/>
    <sheet name="P&amp;L" sheetId="3" r:id="rId3"/>
    <sheet name="Balance Sheet" sheetId="4" r:id="rId4"/>
    <sheet name="Controls &amp; Ratios" sheetId="5" r:id="rId5"/>
    <sheet name="Scenario Analysis" sheetId="6" r:id="rId6"/>
    <sheet name="Management Summary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D6" i="6"/>
  <c r="E6" i="6" s="1"/>
  <c r="D5" i="6"/>
  <c r="E5" i="6" s="1"/>
  <c r="D4" i="6"/>
  <c r="E4" i="6" s="1"/>
  <c r="D3" i="6"/>
  <c r="E3" i="6" s="1"/>
  <c r="D2" i="6"/>
  <c r="E2" i="6" s="1"/>
  <c r="B18" i="4"/>
  <c r="B17" i="4"/>
  <c r="B16" i="4"/>
  <c r="B14" i="4"/>
  <c r="B12" i="4"/>
  <c r="B11" i="4"/>
  <c r="B13" i="4" s="1"/>
  <c r="B15" i="4" s="1"/>
  <c r="B8" i="4"/>
  <c r="B7" i="4"/>
  <c r="B5" i="4"/>
  <c r="B4" i="4"/>
  <c r="B3" i="4"/>
  <c r="B2" i="4"/>
  <c r="B12" i="3"/>
  <c r="B10" i="3"/>
  <c r="B8" i="3"/>
  <c r="B6" i="3"/>
  <c r="B5" i="3"/>
  <c r="B3" i="3"/>
  <c r="B2" i="3"/>
  <c r="B7" i="5" s="1"/>
  <c r="B8" i="7" s="1"/>
  <c r="C20" i="2"/>
  <c r="B20" i="2"/>
  <c r="B21" i="2" s="1"/>
  <c r="B2" i="5" s="1"/>
  <c r="B11" i="7" s="1"/>
  <c r="B19" i="4" l="1"/>
  <c r="B9" i="4"/>
  <c r="B20" i="4"/>
  <c r="B6" i="4"/>
  <c r="B10" i="4" s="1"/>
  <c r="B21" i="4" s="1"/>
  <c r="B3" i="5" s="1"/>
  <c r="B12" i="7" s="1"/>
  <c r="B4" i="3"/>
  <c r="B3" i="7" s="1"/>
  <c r="B8" i="5"/>
  <c r="B9" i="7" s="1"/>
  <c r="B10" i="5"/>
  <c r="B4" i="5"/>
  <c r="B2" i="7"/>
  <c r="B7" i="3" l="1"/>
  <c r="B11" i="5" s="1"/>
  <c r="B9" i="5"/>
  <c r="B10" i="7" s="1"/>
  <c r="B4" i="7"/>
  <c r="B5" i="5"/>
  <c r="B5" i="7" s="1"/>
  <c r="B9" i="3"/>
  <c r="B6" i="5" l="1"/>
  <c r="B11" i="3"/>
  <c r="B13" i="3" s="1"/>
  <c r="B6" i="7"/>
</calcChain>
</file>

<file path=xl/sharedStrings.xml><?xml version="1.0" encoding="utf-8"?>
<sst xmlns="http://schemas.openxmlformats.org/spreadsheetml/2006/main" count="178" uniqueCount="116">
  <si>
    <t>Finance Controller Practical Excel Case Study</t>
  </si>
  <si>
    <t>Objective</t>
  </si>
  <si>
    <t>Take a Trial Balance through classification, P&amp;L, Balance Sheet, controls, ratios and management analysis.</t>
  </si>
  <si>
    <t>Suggested interview flow</t>
  </si>
  <si>
    <t>Trial Balance → Adjustments → P&amp;L → EBITDA/EBIT → Balance Sheet → Controls → Ratios → Scenario Analysis.</t>
  </si>
  <si>
    <t>Important</t>
  </si>
  <si>
    <t>Do not force a Balance Sheet to balance. Investigate differences through reconciliations and missing/incorrect postings.</t>
  </si>
  <si>
    <t>Excel skills demonstrated</t>
  </si>
  <si>
    <t>SUM, SUMIFS, XLOOKUP, IF, IFERROR, Pivot Tables, Conditional Formatting, charts and control checks.</t>
  </si>
  <si>
    <t>Account</t>
  </si>
  <si>
    <t>Debit (₹M)</t>
  </si>
  <si>
    <t>Credit (₹M)</t>
  </si>
  <si>
    <t>Classification</t>
  </si>
  <si>
    <t>Notes</t>
  </si>
  <si>
    <t>Cash &amp; Bank</t>
  </si>
  <si>
    <t>Current Asset</t>
  </si>
  <si>
    <t>Accounts Receivable</t>
  </si>
  <si>
    <t>Inventory</t>
  </si>
  <si>
    <t>Prepaid Expenses</t>
  </si>
  <si>
    <t>Property, Plant &amp; Equipment</t>
  </si>
  <si>
    <t>Non-current Asset</t>
  </si>
  <si>
    <t>Includes corrected ₹65M omission</t>
  </si>
  <si>
    <t>Accumulated Depreciation</t>
  </si>
  <si>
    <t>Contra Asset</t>
  </si>
  <si>
    <t>Accounts Payable</t>
  </si>
  <si>
    <t>Current Liability</t>
  </si>
  <si>
    <t>Accrued Expenses</t>
  </si>
  <si>
    <t>Long-Term Loan</t>
  </si>
  <si>
    <t>Non-current Liability</t>
  </si>
  <si>
    <t>Share Capital</t>
  </si>
  <si>
    <t>Equity</t>
  </si>
  <si>
    <t>Retained Earnings – Opening</t>
  </si>
  <si>
    <t>Revenue</t>
  </si>
  <si>
    <t>Cost of Goods Sold</t>
  </si>
  <si>
    <t>P&amp;L Expense</t>
  </si>
  <si>
    <t>Employee Expenses</t>
  </si>
  <si>
    <t>Other Operating Expenses</t>
  </si>
  <si>
    <t>Depreciation Expense</t>
  </si>
  <si>
    <t>Finance Cost</t>
  </si>
  <si>
    <t>Tax Expense</t>
  </si>
  <si>
    <t>Total</t>
  </si>
  <si>
    <t>TB Difference</t>
  </si>
  <si>
    <t>Expected: 0</t>
  </si>
  <si>
    <t>P&amp;L Item</t>
  </si>
  <si>
    <t>Amount (₹M)</t>
  </si>
  <si>
    <t>Formula / Source</t>
  </si>
  <si>
    <t>Trial Balance</t>
  </si>
  <si>
    <t>COGS</t>
  </si>
  <si>
    <t>Gross Profit</t>
  </si>
  <si>
    <t>Revenue - COGS</t>
  </si>
  <si>
    <t>EBITDA</t>
  </si>
  <si>
    <t>Gross Profit - Operating Expenses</t>
  </si>
  <si>
    <t>Depreciation &amp; Amortization</t>
  </si>
  <si>
    <t>EBIT</t>
  </si>
  <si>
    <t>EBITDA - D&amp;A</t>
  </si>
  <si>
    <t>PBT</t>
  </si>
  <si>
    <t>EBIT - Finance Cost</t>
  </si>
  <si>
    <t>Tax</t>
  </si>
  <si>
    <t>Net Profit</t>
  </si>
  <si>
    <t>PBT - Tax</t>
  </si>
  <si>
    <t>Balance Sheet Item</t>
  </si>
  <si>
    <t>Current Assets</t>
  </si>
  <si>
    <t>Sum</t>
  </si>
  <si>
    <t>Gross PPE</t>
  </si>
  <si>
    <t>Net PPE</t>
  </si>
  <si>
    <t>Gross PPE - Accumulated Depreciation</t>
  </si>
  <si>
    <t>Total Assets</t>
  </si>
  <si>
    <t>Current Assets + Net PPE</t>
  </si>
  <si>
    <t>Current Liabilities</t>
  </si>
  <si>
    <t>Total Liabilities</t>
  </si>
  <si>
    <t>Current + Long-term</t>
  </si>
  <si>
    <t>Opening Retained Earnings</t>
  </si>
  <si>
    <t>Current-Year Profit</t>
  </si>
  <si>
    <t>P&amp;L Net Profit</t>
  </si>
  <si>
    <t>Total Equity</t>
  </si>
  <si>
    <t>Liabilities + Equity</t>
  </si>
  <si>
    <t>Total Liabilities + Equity</t>
  </si>
  <si>
    <t>Balance Sheet Difference</t>
  </si>
  <si>
    <t>Control / Ratio</t>
  </si>
  <si>
    <t>Result</t>
  </si>
  <si>
    <t>Expected / Interpretation</t>
  </si>
  <si>
    <t>Trial Balance Difference</t>
  </si>
  <si>
    <t>0</t>
  </si>
  <si>
    <t>Gross Margin</t>
  </si>
  <si>
    <t>Higher is generally better; investigate movement</t>
  </si>
  <si>
    <t>EBITDA Margin</t>
  </si>
  <si>
    <t>Operating profitability</t>
  </si>
  <si>
    <t>EBIT Margin</t>
  </si>
  <si>
    <t>Profitability after D&amp;A</t>
  </si>
  <si>
    <t>Net Profit Margin</t>
  </si>
  <si>
    <t>Bottom-line profitability</t>
  </si>
  <si>
    <t>Working Capital</t>
  </si>
  <si>
    <t>Current Assets - Current Liabilities</t>
  </si>
  <si>
    <t>Current Ratio</t>
  </si>
  <si>
    <t>Liquidity indicator</t>
  </si>
  <si>
    <t>Debt / Equity</t>
  </si>
  <si>
    <t>Leverage indicator</t>
  </si>
  <si>
    <t>Net Debt / EBITDA</t>
  </si>
  <si>
    <t>Lower generally indicates lower leverage</t>
  </si>
  <si>
    <t>Metric</t>
  </si>
  <si>
    <t>Previous Year (₹M)</t>
  </si>
  <si>
    <t>Current Year (₹M)</t>
  </si>
  <si>
    <t>Variance (₹M)</t>
  </si>
  <si>
    <t>Variance %</t>
  </si>
  <si>
    <t>Controller Comment</t>
  </si>
  <si>
    <t>Revenue growth</t>
  </si>
  <si>
    <t>Assess gross margin</t>
  </si>
  <si>
    <t>Assess operating leverage</t>
  </si>
  <si>
    <t>Assess D&amp;A impact</t>
  </si>
  <si>
    <t>Profit declined despite revenue growth</t>
  </si>
  <si>
    <t>Scenario question</t>
  </si>
  <si>
    <t>Revenue increased but net profit decreased. Investigate COGS, operating expenses, D&amp;A, finance costs, tax and one-off items.</t>
  </si>
  <si>
    <t>Management KPI</t>
  </si>
  <si>
    <t>Value</t>
  </si>
  <si>
    <t>TB Check</t>
  </si>
  <si>
    <t>BS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</si>
</sst>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5" fontId="0" fillId="3" borderId="1" xfId="0" applyNumberFormat="1" applyFill="1" applyBorder="1" applyAlignment="1">
      <alignment vertical="top"/>
    </xf>
    <xf numFmtId="0" fontId="2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Revenue, EBITDA and Net Profit: Previous vs Current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'Scenario Analysis'!$B$1</c:f>
              <c:strCache>
                <c:ptCount val="1"/>
                <c:pt idx="0">
                  <c:v>Previous Year (₹M)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Analysis'!$A$2:$A$6</c:f>
              <c:strCache>
                <c:ptCount val="5"/>
                <c:pt idx="0">
                  <c:v>Revenue</c:v>
                </c:pt>
                <c:pt idx="1">
                  <c:v>Gross Profit</c:v>
                </c:pt>
                <c:pt idx="2">
                  <c:v>EBITDA</c:v>
                </c:pt>
                <c:pt idx="3">
                  <c:v>EBIT</c:v>
                </c:pt>
                <c:pt idx="4">
                  <c:v>Net Profit</c:v>
                </c:pt>
              </c:strCache>
            </c:strRef>
          </c:cat>
          <c:val>
            <c:numRef>
              <c:f>'Scenario Analysis'!$B$2:$B$6</c:f>
              <c:numCache>
                <c:formatCode>#,##0.0</c:formatCode>
                <c:ptCount val="5"/>
                <c:pt idx="0">
                  <c:v>260</c:v>
                </c:pt>
                <c:pt idx="1">
                  <c:v>120</c:v>
                </c:pt>
                <c:pt idx="2">
                  <c:v>70</c:v>
                </c:pt>
                <c:pt idx="3">
                  <c:v>58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7-445F-AE2D-BA1317B8D29E}"/>
            </c:ext>
          </c:extLst>
        </c:ser>
        <c:ser>
          <c:idx val="1"/>
          <c:order val="1"/>
          <c:tx>
            <c:strRef>
              <c:f>'Scenario Analysis'!$C$1</c:f>
              <c:strCache>
                <c:ptCount val="1"/>
                <c:pt idx="0">
                  <c:v>Current Year (₹M)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Analysis'!$A$2:$A$6</c:f>
              <c:strCache>
                <c:ptCount val="5"/>
                <c:pt idx="0">
                  <c:v>Revenue</c:v>
                </c:pt>
                <c:pt idx="1">
                  <c:v>Gross Profit</c:v>
                </c:pt>
                <c:pt idx="2">
                  <c:v>EBITDA</c:v>
                </c:pt>
                <c:pt idx="3">
                  <c:v>EBIT</c:v>
                </c:pt>
                <c:pt idx="4">
                  <c:v>Net Profit</c:v>
                </c:pt>
              </c:strCache>
            </c:strRef>
          </c:cat>
          <c:val>
            <c:numRef>
              <c:f>'Scenario Analysis'!$C$2:$C$6</c:f>
              <c:numCache>
                <c:formatCode>#,##0.0</c:formatCode>
                <c:ptCount val="5"/>
                <c:pt idx="0">
                  <c:v>300</c:v>
                </c:pt>
                <c:pt idx="1">
                  <c:v>130</c:v>
                </c:pt>
                <c:pt idx="2">
                  <c:v>75</c:v>
                </c:pt>
                <c:pt idx="3">
                  <c:v>60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7-445F-AE2D-BA1317B8D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Metric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₹M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552450</xdr:colOff>
      <xdr:row>0</xdr:row>
      <xdr:rowOff>114300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 activeCell="A23" sqref="A23"/>
    </sheetView>
  </sheetViews>
  <sheetFormatPr defaultRowHeight="14.5" x14ac:dyDescent="0.35"/>
  <cols>
    <col min="1" max="1" width="30" customWidth="1"/>
    <col min="2" max="2" width="110" customWidth="1"/>
  </cols>
  <sheetData>
    <row r="1" spans="1:2" x14ac:dyDescent="0.35">
      <c r="A1" s="1" t="s">
        <v>0</v>
      </c>
      <c r="B1" s="1"/>
    </row>
    <row r="2" spans="1:2" x14ac:dyDescent="0.35">
      <c r="A2" s="2" t="s">
        <v>1</v>
      </c>
      <c r="B2" s="2" t="s">
        <v>2</v>
      </c>
    </row>
    <row r="3" spans="1:2" x14ac:dyDescent="0.35">
      <c r="A3" s="2" t="s">
        <v>3</v>
      </c>
      <c r="B3" s="2" t="s">
        <v>4</v>
      </c>
    </row>
    <row r="4" spans="1:2" x14ac:dyDescent="0.35">
      <c r="A4" s="2" t="s">
        <v>5</v>
      </c>
      <c r="B4" s="2" t="s">
        <v>6</v>
      </c>
    </row>
    <row r="5" spans="1:2" x14ac:dyDescent="0.35">
      <c r="A5" s="2" t="s">
        <v>7</v>
      </c>
      <c r="B5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 activeCell="A21" sqref="A21:B21"/>
    </sheetView>
  </sheetViews>
  <sheetFormatPr defaultRowHeight="14.5" x14ac:dyDescent="0.35"/>
  <cols>
    <col min="1" max="1" width="32" customWidth="1"/>
    <col min="2" max="3" width="16" customWidth="1"/>
    <col min="4" max="4" width="22" customWidth="1"/>
    <col min="5" max="5" width="40" customWidth="1"/>
  </cols>
  <sheetData>
    <row r="1" spans="1:5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5">
      <c r="A2" s="2" t="s">
        <v>14</v>
      </c>
      <c r="B2" s="3">
        <v>25</v>
      </c>
      <c r="C2" s="2"/>
      <c r="D2" s="2" t="s">
        <v>15</v>
      </c>
      <c r="E2" s="2"/>
    </row>
    <row r="3" spans="1:5" x14ac:dyDescent="0.35">
      <c r="A3" s="2" t="s">
        <v>16</v>
      </c>
      <c r="B3" s="3">
        <v>45</v>
      </c>
      <c r="C3" s="2"/>
      <c r="D3" s="2" t="s">
        <v>15</v>
      </c>
      <c r="E3" s="2"/>
    </row>
    <row r="4" spans="1:5" x14ac:dyDescent="0.35">
      <c r="A4" s="2" t="s">
        <v>17</v>
      </c>
      <c r="B4" s="3">
        <v>60</v>
      </c>
      <c r="C4" s="2"/>
      <c r="D4" s="2" t="s">
        <v>15</v>
      </c>
      <c r="E4" s="2"/>
    </row>
    <row r="5" spans="1:5" x14ac:dyDescent="0.35">
      <c r="A5" s="2" t="s">
        <v>18</v>
      </c>
      <c r="B5" s="3">
        <v>10</v>
      </c>
      <c r="C5" s="2"/>
      <c r="D5" s="2" t="s">
        <v>15</v>
      </c>
      <c r="E5" s="2"/>
    </row>
    <row r="6" spans="1:5" x14ac:dyDescent="0.35">
      <c r="A6" s="2" t="s">
        <v>19</v>
      </c>
      <c r="B6" s="3">
        <v>215</v>
      </c>
      <c r="C6" s="2"/>
      <c r="D6" s="2" t="s">
        <v>20</v>
      </c>
      <c r="E6" s="2" t="s">
        <v>21</v>
      </c>
    </row>
    <row r="7" spans="1:5" x14ac:dyDescent="0.35">
      <c r="A7" s="2" t="s">
        <v>22</v>
      </c>
      <c r="B7" s="2"/>
      <c r="C7" s="3">
        <v>30</v>
      </c>
      <c r="D7" s="2" t="s">
        <v>23</v>
      </c>
      <c r="E7" s="2"/>
    </row>
    <row r="8" spans="1:5" x14ac:dyDescent="0.35">
      <c r="A8" s="2" t="s">
        <v>24</v>
      </c>
      <c r="B8" s="2"/>
      <c r="C8" s="3">
        <v>50</v>
      </c>
      <c r="D8" s="2" t="s">
        <v>25</v>
      </c>
      <c r="E8" s="2"/>
    </row>
    <row r="9" spans="1:5" x14ac:dyDescent="0.35">
      <c r="A9" s="2" t="s">
        <v>26</v>
      </c>
      <c r="B9" s="2"/>
      <c r="C9" s="3">
        <v>15</v>
      </c>
      <c r="D9" s="2" t="s">
        <v>25</v>
      </c>
      <c r="E9" s="2"/>
    </row>
    <row r="10" spans="1:5" x14ac:dyDescent="0.35">
      <c r="A10" s="2" t="s">
        <v>27</v>
      </c>
      <c r="B10" s="2"/>
      <c r="C10" s="3">
        <v>80</v>
      </c>
      <c r="D10" s="2" t="s">
        <v>28</v>
      </c>
      <c r="E10" s="2"/>
    </row>
    <row r="11" spans="1:5" x14ac:dyDescent="0.35">
      <c r="A11" s="2" t="s">
        <v>29</v>
      </c>
      <c r="B11" s="2"/>
      <c r="C11" s="3">
        <v>100</v>
      </c>
      <c r="D11" s="2" t="s">
        <v>30</v>
      </c>
      <c r="E11" s="2"/>
    </row>
    <row r="12" spans="1:5" x14ac:dyDescent="0.35">
      <c r="A12" s="2" t="s">
        <v>31</v>
      </c>
      <c r="B12" s="2"/>
      <c r="C12" s="3">
        <v>25</v>
      </c>
      <c r="D12" s="2" t="s">
        <v>30</v>
      </c>
      <c r="E12" s="2"/>
    </row>
    <row r="13" spans="1:5" x14ac:dyDescent="0.35">
      <c r="A13" s="2" t="s">
        <v>32</v>
      </c>
      <c r="B13" s="2"/>
      <c r="C13" s="3">
        <v>300</v>
      </c>
      <c r="D13" s="2" t="s">
        <v>32</v>
      </c>
      <c r="E13" s="2"/>
    </row>
    <row r="14" spans="1:5" x14ac:dyDescent="0.35">
      <c r="A14" s="2" t="s">
        <v>33</v>
      </c>
      <c r="B14" s="3">
        <v>170</v>
      </c>
      <c r="C14" s="2"/>
      <c r="D14" s="2" t="s">
        <v>34</v>
      </c>
      <c r="E14" s="2"/>
    </row>
    <row r="15" spans="1:5" x14ac:dyDescent="0.35">
      <c r="A15" s="2" t="s">
        <v>35</v>
      </c>
      <c r="B15" s="3">
        <v>35</v>
      </c>
      <c r="C15" s="2"/>
      <c r="D15" s="2" t="s">
        <v>34</v>
      </c>
      <c r="E15" s="2"/>
    </row>
    <row r="16" spans="1:5" x14ac:dyDescent="0.35">
      <c r="A16" s="2" t="s">
        <v>36</v>
      </c>
      <c r="B16" s="3">
        <v>20</v>
      </c>
      <c r="C16" s="2"/>
      <c r="D16" s="2" t="s">
        <v>34</v>
      </c>
      <c r="E16" s="2"/>
    </row>
    <row r="17" spans="1:5" x14ac:dyDescent="0.35">
      <c r="A17" s="2" t="s">
        <v>37</v>
      </c>
      <c r="B17" s="3">
        <v>15</v>
      </c>
      <c r="C17" s="2"/>
      <c r="D17" s="2" t="s">
        <v>34</v>
      </c>
      <c r="E17" s="2"/>
    </row>
    <row r="18" spans="1:5" x14ac:dyDescent="0.35">
      <c r="A18" s="2" t="s">
        <v>38</v>
      </c>
      <c r="B18" s="3">
        <v>8</v>
      </c>
      <c r="C18" s="2"/>
      <c r="D18" s="2" t="s">
        <v>34</v>
      </c>
      <c r="E18" s="2"/>
    </row>
    <row r="19" spans="1:5" x14ac:dyDescent="0.35">
      <c r="A19" s="2" t="s">
        <v>39</v>
      </c>
      <c r="B19" s="3">
        <v>7</v>
      </c>
      <c r="C19" s="2"/>
      <c r="D19" s="2" t="s">
        <v>34</v>
      </c>
      <c r="E19" s="2"/>
    </row>
    <row r="20" spans="1:5" x14ac:dyDescent="0.35">
      <c r="A20" s="2" t="s">
        <v>40</v>
      </c>
      <c r="B20" s="3">
        <f>SUM(B2:B19)</f>
        <v>610</v>
      </c>
      <c r="C20" s="3">
        <f>SUM(C2:C19)</f>
        <v>600</v>
      </c>
      <c r="D20" s="2"/>
      <c r="E20" s="2"/>
    </row>
    <row r="21" spans="1:5" x14ac:dyDescent="0.35">
      <c r="A21" s="6" t="s">
        <v>41</v>
      </c>
      <c r="B21" s="7">
        <f>B20-C20</f>
        <v>10</v>
      </c>
      <c r="C21" s="2"/>
      <c r="D21" s="2" t="s">
        <v>42</v>
      </c>
      <c r="E2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32" customWidth="1"/>
    <col min="2" max="2" width="18" customWidth="1"/>
    <col min="3" max="3" width="35" customWidth="1"/>
  </cols>
  <sheetData>
    <row r="1" spans="1:3" x14ac:dyDescent="0.35">
      <c r="A1" s="1" t="s">
        <v>43</v>
      </c>
      <c r="B1" s="1" t="s">
        <v>44</v>
      </c>
      <c r="C1" s="1" t="s">
        <v>45</v>
      </c>
    </row>
    <row r="2" spans="1:3" x14ac:dyDescent="0.35">
      <c r="A2" s="2" t="s">
        <v>32</v>
      </c>
      <c r="B2" s="3">
        <f>SUMIF('Trial Balance'!D2:D19,"Revenue",'Trial Balance'!B2:B19)+SUMIF('Trial Balance'!D2:D19,"Revenue",'Trial Balance'!C2:C19)</f>
        <v>300</v>
      </c>
      <c r="C2" s="2" t="s">
        <v>46</v>
      </c>
    </row>
    <row r="3" spans="1:3" x14ac:dyDescent="0.35">
      <c r="A3" s="2" t="s">
        <v>47</v>
      </c>
      <c r="B3" s="3">
        <f>SUMIF('Trial Balance'!D2:D19,"P&amp;L Expense",'Trial Balance'!B2:B19)-SUMIFS('Trial Balance'!B2:B19,'Trial Balance'!A2:A19,"Employee Expenses")-SUMIFS('Trial Balance'!B2:B19,'Trial Balance'!A2:A19,"Other Operating Expenses")-SUMIFS('Trial Balance'!B2:B19,'Trial Balance'!A2:A19,"Depreciation Expense")-SUMIFS('Trial Balance'!B2:B19,'Trial Balance'!A2:A19,"Finance Cost")-SUMIFS('Trial Balance'!B2:B19,'Trial Balance'!A2:A19,"Tax Expense")</f>
        <v>170</v>
      </c>
      <c r="C3" s="2" t="s">
        <v>46</v>
      </c>
    </row>
    <row r="4" spans="1:3" x14ac:dyDescent="0.35">
      <c r="A4" s="2" t="s">
        <v>48</v>
      </c>
      <c r="B4" s="3">
        <f>B2-B3</f>
        <v>130</v>
      </c>
      <c r="C4" s="2" t="s">
        <v>49</v>
      </c>
    </row>
    <row r="5" spans="1:3" x14ac:dyDescent="0.35">
      <c r="A5" s="2" t="s">
        <v>35</v>
      </c>
      <c r="B5" s="3">
        <f>SUMIFS('Trial Balance'!B2:B19,'Trial Balance'!A2:A19,"Employee Expenses")</f>
        <v>35</v>
      </c>
      <c r="C5" s="2" t="s">
        <v>46</v>
      </c>
    </row>
    <row r="6" spans="1:3" x14ac:dyDescent="0.35">
      <c r="A6" s="2" t="s">
        <v>36</v>
      </c>
      <c r="B6" s="3">
        <f>SUMIFS('Trial Balance'!B2:B19,'Trial Balance'!A2:A19,"Other Operating Expenses")</f>
        <v>20</v>
      </c>
      <c r="C6" s="2" t="s">
        <v>46</v>
      </c>
    </row>
    <row r="7" spans="1:3" x14ac:dyDescent="0.35">
      <c r="A7" s="2" t="s">
        <v>50</v>
      </c>
      <c r="B7" s="3">
        <f>B4-B5-B6</f>
        <v>75</v>
      </c>
      <c r="C7" s="2" t="s">
        <v>51</v>
      </c>
    </row>
    <row r="8" spans="1:3" x14ac:dyDescent="0.35">
      <c r="A8" s="2" t="s">
        <v>52</v>
      </c>
      <c r="B8" s="3">
        <f>SUMIFS('Trial Balance'!B2:B19,'Trial Balance'!A2:A19,"Depreciation Expense")</f>
        <v>15</v>
      </c>
      <c r="C8" s="2" t="s">
        <v>46</v>
      </c>
    </row>
    <row r="9" spans="1:3" x14ac:dyDescent="0.35">
      <c r="A9" s="2" t="s">
        <v>53</v>
      </c>
      <c r="B9" s="3">
        <f>B7-B8</f>
        <v>60</v>
      </c>
      <c r="C9" s="2" t="s">
        <v>54</v>
      </c>
    </row>
    <row r="10" spans="1:3" x14ac:dyDescent="0.35">
      <c r="A10" s="2" t="s">
        <v>38</v>
      </c>
      <c r="B10" s="3">
        <f>SUMIFS('Trial Balance'!B2:B19,'Trial Balance'!A2:A19,"Finance Cost")</f>
        <v>8</v>
      </c>
      <c r="C10" s="2" t="s">
        <v>46</v>
      </c>
    </row>
    <row r="11" spans="1:3" x14ac:dyDescent="0.35">
      <c r="A11" s="2" t="s">
        <v>55</v>
      </c>
      <c r="B11" s="3">
        <f>B9-B10</f>
        <v>52</v>
      </c>
      <c r="C11" s="2" t="s">
        <v>56</v>
      </c>
    </row>
    <row r="12" spans="1:3" x14ac:dyDescent="0.35">
      <c r="A12" s="2" t="s">
        <v>57</v>
      </c>
      <c r="B12" s="3">
        <f>SUMIFS('Trial Balance'!B2:B19,'Trial Balance'!A2:A19,"Tax Expense")</f>
        <v>7</v>
      </c>
      <c r="C12" s="2" t="s">
        <v>46</v>
      </c>
    </row>
    <row r="13" spans="1:3" x14ac:dyDescent="0.35">
      <c r="A13" s="2" t="s">
        <v>58</v>
      </c>
      <c r="B13" s="3">
        <f>B11-B12</f>
        <v>45</v>
      </c>
      <c r="C13" s="2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pane ySplit="1" topLeftCell="A2" activePane="bottomLeft" state="frozen"/>
      <selection pane="bottomLeft" activeCell="A21" sqref="A21"/>
    </sheetView>
  </sheetViews>
  <sheetFormatPr defaultRowHeight="14.5" x14ac:dyDescent="0.35"/>
  <cols>
    <col min="1" max="1" width="34" customWidth="1"/>
    <col min="2" max="2" width="18" customWidth="1"/>
    <col min="3" max="3" width="38" customWidth="1"/>
  </cols>
  <sheetData>
    <row r="1" spans="1:3" x14ac:dyDescent="0.35">
      <c r="A1" s="1" t="s">
        <v>60</v>
      </c>
      <c r="B1" s="1" t="s">
        <v>44</v>
      </c>
      <c r="C1" s="1" t="s">
        <v>45</v>
      </c>
    </row>
    <row r="2" spans="1:3" x14ac:dyDescent="0.35">
      <c r="A2" s="2" t="s">
        <v>14</v>
      </c>
      <c r="B2" s="3">
        <f>'Trial Balance'!B2</f>
        <v>25</v>
      </c>
      <c r="C2" s="2" t="s">
        <v>46</v>
      </c>
    </row>
    <row r="3" spans="1:3" x14ac:dyDescent="0.35">
      <c r="A3" s="2" t="s">
        <v>16</v>
      </c>
      <c r="B3" s="3">
        <f>'Trial Balance'!B3</f>
        <v>45</v>
      </c>
      <c r="C3" s="2" t="s">
        <v>46</v>
      </c>
    </row>
    <row r="4" spans="1:3" x14ac:dyDescent="0.35">
      <c r="A4" s="2" t="s">
        <v>17</v>
      </c>
      <c r="B4" s="3">
        <f>'Trial Balance'!B4</f>
        <v>60</v>
      </c>
      <c r="C4" s="2" t="s">
        <v>46</v>
      </c>
    </row>
    <row r="5" spans="1:3" x14ac:dyDescent="0.35">
      <c r="A5" s="2" t="s">
        <v>18</v>
      </c>
      <c r="B5" s="3">
        <f>'Trial Balance'!B5</f>
        <v>10</v>
      </c>
      <c r="C5" s="2" t="s">
        <v>46</v>
      </c>
    </row>
    <row r="6" spans="1:3" x14ac:dyDescent="0.35">
      <c r="A6" s="2" t="s">
        <v>61</v>
      </c>
      <c r="B6" s="3">
        <f>SUM(B2:B5)</f>
        <v>140</v>
      </c>
      <c r="C6" s="2" t="s">
        <v>62</v>
      </c>
    </row>
    <row r="7" spans="1:3" x14ac:dyDescent="0.35">
      <c r="A7" s="2" t="s">
        <v>63</v>
      </c>
      <c r="B7" s="3">
        <f>'Trial Balance'!B6</f>
        <v>215</v>
      </c>
      <c r="C7" s="2" t="s">
        <v>46</v>
      </c>
    </row>
    <row r="8" spans="1:3" x14ac:dyDescent="0.35">
      <c r="A8" s="2" t="s">
        <v>22</v>
      </c>
      <c r="B8" s="3">
        <f>'Trial Balance'!C7</f>
        <v>30</v>
      </c>
      <c r="C8" s="2" t="s">
        <v>46</v>
      </c>
    </row>
    <row r="9" spans="1:3" x14ac:dyDescent="0.35">
      <c r="A9" s="2" t="s">
        <v>64</v>
      </c>
      <c r="B9" s="3">
        <f>B7-B8</f>
        <v>185</v>
      </c>
      <c r="C9" s="2" t="s">
        <v>65</v>
      </c>
    </row>
    <row r="10" spans="1:3" x14ac:dyDescent="0.35">
      <c r="A10" s="2" t="s">
        <v>66</v>
      </c>
      <c r="B10" s="3">
        <f>B6+B9</f>
        <v>325</v>
      </c>
      <c r="C10" s="2" t="s">
        <v>67</v>
      </c>
    </row>
    <row r="11" spans="1:3" x14ac:dyDescent="0.35">
      <c r="A11" s="2" t="s">
        <v>24</v>
      </c>
      <c r="B11" s="3">
        <f>'Trial Balance'!C8</f>
        <v>50</v>
      </c>
      <c r="C11" s="2" t="s">
        <v>46</v>
      </c>
    </row>
    <row r="12" spans="1:3" x14ac:dyDescent="0.35">
      <c r="A12" s="2" t="s">
        <v>26</v>
      </c>
      <c r="B12" s="3">
        <f>'Trial Balance'!C9</f>
        <v>15</v>
      </c>
      <c r="C12" s="2" t="s">
        <v>46</v>
      </c>
    </row>
    <row r="13" spans="1:3" x14ac:dyDescent="0.35">
      <c r="A13" s="2" t="s">
        <v>68</v>
      </c>
      <c r="B13" s="3">
        <f>SUM(B11:B12)</f>
        <v>65</v>
      </c>
      <c r="C13" s="2" t="s">
        <v>62</v>
      </c>
    </row>
    <row r="14" spans="1:3" x14ac:dyDescent="0.35">
      <c r="A14" s="2" t="s">
        <v>27</v>
      </c>
      <c r="B14" s="3">
        <f>'Trial Balance'!C10</f>
        <v>80</v>
      </c>
      <c r="C14" s="2" t="s">
        <v>46</v>
      </c>
    </row>
    <row r="15" spans="1:3" x14ac:dyDescent="0.35">
      <c r="A15" s="2" t="s">
        <v>69</v>
      </c>
      <c r="B15" s="3">
        <f>B13+B14</f>
        <v>145</v>
      </c>
      <c r="C15" s="2" t="s">
        <v>70</v>
      </c>
    </row>
    <row r="16" spans="1:3" x14ac:dyDescent="0.35">
      <c r="A16" s="2" t="s">
        <v>29</v>
      </c>
      <c r="B16" s="3">
        <f>'Trial Balance'!C11</f>
        <v>100</v>
      </c>
      <c r="C16" s="2" t="s">
        <v>46</v>
      </c>
    </row>
    <row r="17" spans="1:3" x14ac:dyDescent="0.35">
      <c r="A17" s="2" t="s">
        <v>71</v>
      </c>
      <c r="B17" s="3">
        <f>'Trial Balance'!C12</f>
        <v>25</v>
      </c>
      <c r="C17" s="2" t="s">
        <v>46</v>
      </c>
    </row>
    <row r="18" spans="1:3" x14ac:dyDescent="0.35">
      <c r="A18" s="2" t="s">
        <v>72</v>
      </c>
      <c r="B18" s="3">
        <f>'P&amp;L'!B14</f>
        <v>0</v>
      </c>
      <c r="C18" s="2" t="s">
        <v>73</v>
      </c>
    </row>
    <row r="19" spans="1:3" x14ac:dyDescent="0.35">
      <c r="A19" s="2" t="s">
        <v>74</v>
      </c>
      <c r="B19" s="3">
        <f>SUM(B16:B18)</f>
        <v>125</v>
      </c>
      <c r="C19" s="2" t="s">
        <v>62</v>
      </c>
    </row>
    <row r="20" spans="1:3" x14ac:dyDescent="0.35">
      <c r="A20" s="2" t="s">
        <v>75</v>
      </c>
      <c r="B20" s="3">
        <f>B15+B19</f>
        <v>270</v>
      </c>
      <c r="C20" s="2" t="s">
        <v>76</v>
      </c>
    </row>
    <row r="21" spans="1:3" x14ac:dyDescent="0.35">
      <c r="A21" s="6" t="s">
        <v>77</v>
      </c>
      <c r="B21" s="7">
        <f>B10-B20</f>
        <v>55</v>
      </c>
      <c r="C21" s="6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30" customWidth="1"/>
    <col min="2" max="2" width="20" customWidth="1"/>
    <col min="3" max="3" width="55" customWidth="1"/>
  </cols>
  <sheetData>
    <row r="1" spans="1:3" x14ac:dyDescent="0.35">
      <c r="A1" s="1" t="s">
        <v>78</v>
      </c>
      <c r="B1" s="1" t="s">
        <v>79</v>
      </c>
      <c r="C1" s="1" t="s">
        <v>80</v>
      </c>
    </row>
    <row r="2" spans="1:3" x14ac:dyDescent="0.35">
      <c r="A2" s="2" t="s">
        <v>81</v>
      </c>
      <c r="B2" s="3">
        <f>'Trial Balance'!B21</f>
        <v>10</v>
      </c>
      <c r="C2" s="2" t="s">
        <v>82</v>
      </c>
    </row>
    <row r="3" spans="1:3" x14ac:dyDescent="0.35">
      <c r="A3" s="2" t="s">
        <v>77</v>
      </c>
      <c r="B3" s="3">
        <f>'Balance Sheet'!B21</f>
        <v>55</v>
      </c>
      <c r="C3" s="2" t="s">
        <v>82</v>
      </c>
    </row>
    <row r="4" spans="1:3" x14ac:dyDescent="0.35">
      <c r="A4" s="2" t="s">
        <v>83</v>
      </c>
      <c r="B4" s="4">
        <f>'P&amp;L'!B4/'P&amp;L'!B2</f>
        <v>0.43333333333333335</v>
      </c>
      <c r="C4" s="2" t="s">
        <v>84</v>
      </c>
    </row>
    <row r="5" spans="1:3" x14ac:dyDescent="0.35">
      <c r="A5" s="2" t="s">
        <v>85</v>
      </c>
      <c r="B5" s="4">
        <f>'P&amp;L'!B7/'P&amp;L'!B2</f>
        <v>0.25</v>
      </c>
      <c r="C5" s="2" t="s">
        <v>86</v>
      </c>
    </row>
    <row r="6" spans="1:3" x14ac:dyDescent="0.35">
      <c r="A6" s="2" t="s">
        <v>87</v>
      </c>
      <c r="B6" s="4">
        <f>'P&amp;L'!B9/'P&amp;L'!B2</f>
        <v>0.2</v>
      </c>
      <c r="C6" s="2" t="s">
        <v>88</v>
      </c>
    </row>
    <row r="7" spans="1:3" x14ac:dyDescent="0.35">
      <c r="A7" s="2" t="s">
        <v>89</v>
      </c>
      <c r="B7" s="4">
        <f>'P&amp;L'!B14/'P&amp;L'!B2</f>
        <v>0</v>
      </c>
      <c r="C7" s="2" t="s">
        <v>90</v>
      </c>
    </row>
    <row r="8" spans="1:3" x14ac:dyDescent="0.35">
      <c r="A8" s="2" t="s">
        <v>91</v>
      </c>
      <c r="B8" s="3">
        <f>'Balance Sheet'!B6-'Balance Sheet'!B13</f>
        <v>75</v>
      </c>
      <c r="C8" s="2" t="s">
        <v>92</v>
      </c>
    </row>
    <row r="9" spans="1:3" x14ac:dyDescent="0.35">
      <c r="A9" s="2" t="s">
        <v>93</v>
      </c>
      <c r="B9" s="3">
        <f>'Balance Sheet'!B6/'Balance Sheet'!B13</f>
        <v>2.1538461538461537</v>
      </c>
      <c r="C9" s="2" t="s">
        <v>94</v>
      </c>
    </row>
    <row r="10" spans="1:3" x14ac:dyDescent="0.35">
      <c r="A10" s="2" t="s">
        <v>95</v>
      </c>
      <c r="B10" s="3">
        <f>'Balance Sheet'!B14/'Balance Sheet'!B19</f>
        <v>0.64</v>
      </c>
      <c r="C10" s="2" t="s">
        <v>96</v>
      </c>
    </row>
    <row r="11" spans="1:3" x14ac:dyDescent="0.35">
      <c r="A11" s="2" t="s">
        <v>97</v>
      </c>
      <c r="B11" s="3">
        <f>('Balance Sheet'!B14-'Balance Sheet'!B2)/'P&amp;L'!B7</f>
        <v>0.73333333333333328</v>
      </c>
      <c r="C11" s="2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pane ySplit="1" topLeftCell="A2" activePane="bottomLeft" state="frozen"/>
      <selection pane="bottomLeft" activeCell="F17" sqref="F17"/>
    </sheetView>
  </sheetViews>
  <sheetFormatPr defaultRowHeight="14.5" x14ac:dyDescent="0.35"/>
  <cols>
    <col min="1" max="1" width="28" customWidth="1"/>
    <col min="2" max="3" width="20" customWidth="1"/>
    <col min="4" max="4" width="18" customWidth="1"/>
    <col min="5" max="5" width="16" customWidth="1"/>
    <col min="6" max="6" width="70" customWidth="1"/>
  </cols>
  <sheetData>
    <row r="1" spans="1:6" x14ac:dyDescent="0.3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6" x14ac:dyDescent="0.35">
      <c r="A2" s="2" t="s">
        <v>32</v>
      </c>
      <c r="B2" s="7">
        <v>260</v>
      </c>
      <c r="C2" s="7">
        <v>300</v>
      </c>
      <c r="D2" s="7">
        <f>C2-B2</f>
        <v>40</v>
      </c>
      <c r="E2" s="8">
        <f>D2/B2</f>
        <v>0.15384615384615385</v>
      </c>
      <c r="F2" s="6" t="s">
        <v>105</v>
      </c>
    </row>
    <row r="3" spans="1:6" x14ac:dyDescent="0.35">
      <c r="A3" s="2" t="s">
        <v>48</v>
      </c>
      <c r="B3" s="3">
        <v>120</v>
      </c>
      <c r="C3" s="3">
        <v>130</v>
      </c>
      <c r="D3" s="3">
        <f>C3-B3</f>
        <v>10</v>
      </c>
      <c r="E3" s="4">
        <f>D3/B3</f>
        <v>8.3333333333333329E-2</v>
      </c>
      <c r="F3" s="2" t="s">
        <v>106</v>
      </c>
    </row>
    <row r="4" spans="1:6" x14ac:dyDescent="0.35">
      <c r="A4" s="2" t="s">
        <v>50</v>
      </c>
      <c r="B4" s="3">
        <v>70</v>
      </c>
      <c r="C4" s="3">
        <v>75</v>
      </c>
      <c r="D4" s="3">
        <f>C4-B4</f>
        <v>5</v>
      </c>
      <c r="E4" s="4">
        <f>D4/B4</f>
        <v>7.1428571428571425E-2</v>
      </c>
      <c r="F4" s="2" t="s">
        <v>107</v>
      </c>
    </row>
    <row r="5" spans="1:6" x14ac:dyDescent="0.35">
      <c r="A5" s="2" t="s">
        <v>53</v>
      </c>
      <c r="B5" s="3">
        <v>58</v>
      </c>
      <c r="C5" s="3">
        <v>60</v>
      </c>
      <c r="D5" s="3">
        <f>C5-B5</f>
        <v>2</v>
      </c>
      <c r="E5" s="4">
        <f>D5/B5</f>
        <v>3.4482758620689655E-2</v>
      </c>
      <c r="F5" s="2" t="s">
        <v>108</v>
      </c>
    </row>
    <row r="6" spans="1:6" x14ac:dyDescent="0.35">
      <c r="A6" s="2" t="s">
        <v>58</v>
      </c>
      <c r="B6" s="3">
        <v>48</v>
      </c>
      <c r="C6" s="3">
        <v>45</v>
      </c>
      <c r="D6" s="3">
        <f>C6-B6</f>
        <v>-3</v>
      </c>
      <c r="E6" s="4">
        <f>D6/B6</f>
        <v>-6.25E-2</v>
      </c>
      <c r="F6" s="2" t="s">
        <v>109</v>
      </c>
    </row>
    <row r="7" spans="1:6" x14ac:dyDescent="0.35">
      <c r="A7" s="5"/>
      <c r="B7" s="5"/>
      <c r="C7" s="5"/>
      <c r="D7" s="5"/>
      <c r="E7" s="5"/>
      <c r="F7" s="5"/>
    </row>
    <row r="8" spans="1:6" x14ac:dyDescent="0.35">
      <c r="A8" s="2" t="s">
        <v>110</v>
      </c>
      <c r="B8" s="2"/>
      <c r="C8" s="2"/>
      <c r="D8" s="2"/>
      <c r="E8" s="2"/>
      <c r="F8" s="9" t="s">
        <v>111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28" customWidth="1"/>
    <col min="2" max="2" width="20" customWidth="1"/>
  </cols>
  <sheetData>
    <row r="1" spans="1:2" x14ac:dyDescent="0.35">
      <c r="A1" s="1" t="s">
        <v>112</v>
      </c>
      <c r="B1" s="1" t="s">
        <v>113</v>
      </c>
    </row>
    <row r="2" spans="1:2" x14ac:dyDescent="0.35">
      <c r="A2" s="2" t="s">
        <v>32</v>
      </c>
      <c r="B2" s="3">
        <f>'P&amp;L'!B2</f>
        <v>300</v>
      </c>
    </row>
    <row r="3" spans="1:2" x14ac:dyDescent="0.35">
      <c r="A3" s="2" t="s">
        <v>48</v>
      </c>
      <c r="B3" s="3">
        <f>'P&amp;L'!B4</f>
        <v>130</v>
      </c>
    </row>
    <row r="4" spans="1:2" x14ac:dyDescent="0.35">
      <c r="A4" s="2" t="s">
        <v>50</v>
      </c>
      <c r="B4" s="3">
        <f>'P&amp;L'!B7</f>
        <v>75</v>
      </c>
    </row>
    <row r="5" spans="1:2" x14ac:dyDescent="0.35">
      <c r="A5" s="2" t="s">
        <v>85</v>
      </c>
      <c r="B5" s="4">
        <f>'Controls &amp; Ratios'!B5</f>
        <v>0.25</v>
      </c>
    </row>
    <row r="6" spans="1:2" x14ac:dyDescent="0.35">
      <c r="A6" s="2" t="s">
        <v>53</v>
      </c>
      <c r="B6" s="3">
        <f>'P&amp;L'!B9</f>
        <v>60</v>
      </c>
    </row>
    <row r="7" spans="1:2" x14ac:dyDescent="0.35">
      <c r="A7" s="2" t="s">
        <v>58</v>
      </c>
      <c r="B7" s="3">
        <f>'P&amp;L'!B14</f>
        <v>0</v>
      </c>
    </row>
    <row r="8" spans="1:2" x14ac:dyDescent="0.35">
      <c r="A8" s="2" t="s">
        <v>89</v>
      </c>
      <c r="B8" s="4">
        <f>'Controls &amp; Ratios'!B7</f>
        <v>0</v>
      </c>
    </row>
    <row r="9" spans="1:2" x14ac:dyDescent="0.35">
      <c r="A9" s="2" t="s">
        <v>91</v>
      </c>
      <c r="B9" s="3">
        <f>'Controls &amp; Ratios'!B8</f>
        <v>75</v>
      </c>
    </row>
    <row r="10" spans="1:2" x14ac:dyDescent="0.35">
      <c r="A10" s="2" t="s">
        <v>93</v>
      </c>
      <c r="B10" s="3">
        <f>'Controls &amp; Ratios'!B9</f>
        <v>2.1538461538461537</v>
      </c>
    </row>
    <row r="11" spans="1:2" x14ac:dyDescent="0.35">
      <c r="A11" s="2" t="s">
        <v>114</v>
      </c>
      <c r="B11" s="3">
        <f>'Controls &amp; Ratios'!B2</f>
        <v>10</v>
      </c>
    </row>
    <row r="12" spans="1:2" x14ac:dyDescent="0.35">
      <c r="A12" s="2" t="s">
        <v>115</v>
      </c>
      <c r="B12" s="3">
        <f>'Controls &amp; Ratios'!B3</f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Trial Balance</vt:lpstr>
      <vt:lpstr>P&amp;L</vt:lpstr>
      <vt:lpstr>Balance Sheet</vt:lpstr>
      <vt:lpstr>Controls &amp; Ratios</vt:lpstr>
      <vt:lpstr>Scenario Analysis</vt:lpstr>
      <vt:lpstr>Management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masuma91khatun@outlook.com</cp:lastModifiedBy>
  <dcterms:created xsi:type="dcterms:W3CDTF">2026-09-08T04:10:37Z</dcterms:created>
  <dcterms:modified xsi:type="dcterms:W3CDTF">2026-09-08T04:37:45Z</dcterms:modified>
</cp:coreProperties>
</file>