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Trial Balance (Raw)" sheetId="2" state="visible" r:id="rId4"/>
    <sheet name="2. Trial Balance (Corrected)" sheetId="3" state="visible" r:id="rId5"/>
    <sheet name="3. P&amp;L" sheetId="4" state="visible" r:id="rId6"/>
    <sheet name="4. Balance Sheet" sheetId="5" state="visible" r:id="rId7"/>
    <sheet name="5. Ratios &amp; Working Capital" sheetId="6" state="visible" r:id="rId8"/>
    <sheet name="6. Variance Analysis" sheetId="7" state="visible" r:id="rId9"/>
    <sheet name="7. Control 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<sst xmlns="http://schemas.openxmlformats.org/spreadsheetml/2006/main" count="150" uniqueCount="111">
  <si>
    <t xml:space="preserve">Finance Controller Practical Case Study</t>
  </si>
  <si>
    <t xml:space="preserve">ABC Manufacturing Ltd. — FY 2025-26</t>
  </si>
  <si>
    <t xml:space="preserve">Purpose</t>
  </si>
  <si>
    <t xml:space="preserve">Practice taking a raw Trial Balance through to a full financial analysis, the way a Finance Controller interview case study is run.</t>
  </si>
  <si>
    <t xml:space="preserve">Currency</t>
  </si>
  <si>
    <t xml:space="preserve">₹ Million (INR millions)</t>
  </si>
  <si>
    <t xml:space="preserve">Tab</t>
  </si>
  <si>
    <t xml:space="preserve">What it contains</t>
  </si>
  <si>
    <t xml:space="preserve">1. Trial Balance (Raw)</t>
  </si>
  <si>
    <t xml:space="preserve">The Trial Balance as originally given — deliberately out of balance by ₹65M, to practice the investigate-don't-force approach.</t>
  </si>
  <si>
    <t xml:space="preserve">2. Trial Balance (Corrected)</t>
  </si>
  <si>
    <t xml:space="preserve">Same Trial Balance after the missing ₹65M of PPE is identified and posted. Debits = Credits here.</t>
  </si>
  <si>
    <t xml:space="preserve">3. P&amp;L</t>
  </si>
  <si>
    <t xml:space="preserve">Revenue through Net Profit, built entirely with formulas off the corrected Trial Balance.</t>
  </si>
  <si>
    <t xml:space="preserve">4. Balance Sheet</t>
  </si>
  <si>
    <t xml:space="preserve">Assets, Liabilities and Equity, linked to the P&amp;L and Trial Balance.</t>
  </si>
  <si>
    <t xml:space="preserve">5. Ratios &amp; Working Capital</t>
  </si>
  <si>
    <t xml:space="preserve">Profitability, liquidity and efficiency ratios, calculated from the P&amp;L and Balance Sheet.</t>
  </si>
  <si>
    <t xml:space="preserve">6. Variance Analysis</t>
  </si>
  <si>
    <t xml:space="preserve">Prior year vs current year comparison — the 'revenue up, profit down' scenario.</t>
  </si>
  <si>
    <t xml:space="preserve">7. Control Checks</t>
  </si>
  <si>
    <t xml:space="preserve">Three checks that must equal zero before you'd ever present these statements: TB difference, Balance Sheet difference, P&amp;L tie-out.</t>
  </si>
  <si>
    <t xml:space="preserve">How to use it</t>
  </si>
  <si>
    <t xml:space="preserve">Start on Tab 1. Try to spot the imbalance yourself before opening Tab 2. Then trace how the corrected Trial Balance flows into the P&amp;L, Balance Sheet, and ratios — every number is a live formula, so you can change an input on Tab 2 and watch it ripple through.</t>
  </si>
  <si>
    <t xml:space="preserve">Color key</t>
  </si>
  <si>
    <t xml:space="preserve">Blue = input / given number.   Black = formula (do not overtype).   Yellow fill = a control check result.</t>
  </si>
  <si>
    <t xml:space="preserve">Trial Balance (As Originally Given) — Practice: find the imbalance</t>
  </si>
  <si>
    <t xml:space="preserve">Account</t>
  </si>
  <si>
    <t xml:space="preserve">Debit (₹M)</t>
  </si>
  <si>
    <t xml:space="preserve">Credit (₹M)</t>
  </si>
  <si>
    <t xml:space="preserve">Cash &amp; Bank</t>
  </si>
  <si>
    <t xml:space="preserve">Accounts Receivable</t>
  </si>
  <si>
    <t xml:space="preserve">Inventory</t>
  </si>
  <si>
    <t xml:space="preserve">Prepaid Expenses</t>
  </si>
  <si>
    <t xml:space="preserve">Property, Plant &amp; Equipment</t>
  </si>
  <si>
    <t xml:space="preserve">Accumulated Depreciation</t>
  </si>
  <si>
    <t xml:space="preserve">Accounts Payable</t>
  </si>
  <si>
    <t xml:space="preserve">Accrued Expenses</t>
  </si>
  <si>
    <t xml:space="preserve">Long-Term Loan</t>
  </si>
  <si>
    <t xml:space="preserve">Share Capital</t>
  </si>
  <si>
    <t xml:space="preserve">Retained Earnings - Opening</t>
  </si>
  <si>
    <t xml:space="preserve">Revenue</t>
  </si>
  <si>
    <t xml:space="preserve">Cost of Goods Sold</t>
  </si>
  <si>
    <t xml:space="preserve">Employee Expenses</t>
  </si>
  <si>
    <t xml:space="preserve">Other Operating Expenses</t>
  </si>
  <si>
    <t xml:space="preserve">Depreciation Expense</t>
  </si>
  <si>
    <t xml:space="preserve">Finance Cost</t>
  </si>
  <si>
    <t xml:space="preserve">Tax Expense</t>
  </si>
  <si>
    <t xml:space="preserve">Total</t>
  </si>
  <si>
    <t xml:space="preserve">Difference (Debit - Credit)</t>
  </si>
  <si>
    <t xml:space="preserve">Note: This Trial Balance does not balance. As a Controller, investigate the gap (missing account, incorrect posting, opening balance issue) rather than forcing it. See Tab 2 for the resolution.</t>
  </si>
  <si>
    <t xml:space="preserve">Trial Balance (Corrected) — Missing PPE of ₹65M identified &amp; posted</t>
  </si>
  <si>
    <t xml:space="preserve">Investigation finding: an additional ₹65M of fixed assets had been omitted from the original Trial Balance. Corrected PPE = ₹150M + ₹65M = ₹215M. This closes most of the gap, but a further ₹10M difference remains on this Trial Balance (see Tab 7: Control Checks) — a second item for the reader to trace before finalizing the statements. A Controller does not force this to zero.</t>
  </si>
  <si>
    <t xml:space="preserve">Profit &amp; Loss Statement — FY 2025-26</t>
  </si>
  <si>
    <t xml:space="preserve">Line Item</t>
  </si>
  <si>
    <t xml:space="preserve">₹M</t>
  </si>
  <si>
    <t xml:space="preserve">% of Revenue</t>
  </si>
  <si>
    <t xml:space="preserve">Less: Cost of Goods Sold</t>
  </si>
  <si>
    <t xml:space="preserve">Gross Profit</t>
  </si>
  <si>
    <t xml:space="preserve">Less: Employee Expenses</t>
  </si>
  <si>
    <t xml:space="preserve">Less: Other Operating Expenses</t>
  </si>
  <si>
    <t xml:space="preserve">EBITDA</t>
  </si>
  <si>
    <t xml:space="preserve">Less: Depreciation &amp; Amortization</t>
  </si>
  <si>
    <t xml:space="preserve">EBIT</t>
  </si>
  <si>
    <t xml:space="preserve">Less: Finance Cost</t>
  </si>
  <si>
    <t xml:space="preserve">Profit Before Tax (PBT)</t>
  </si>
  <si>
    <t xml:space="preserve">Less: Tax Expense</t>
  </si>
  <si>
    <t xml:space="preserve">Net Profit</t>
  </si>
  <si>
    <t xml:space="preserve">EBITDA − D&amp;A = EBIT. EBITDA reflects operating profitability before financing structure, tax, and depreciation policy — but it is not cash flow, since it ignores working capital, capex, interest and tax.</t>
  </si>
  <si>
    <t xml:space="preserve">Balance Sheet — Assets</t>
  </si>
  <si>
    <t xml:space="preserve">Balance Sheet — Liabilities &amp; Equity</t>
  </si>
  <si>
    <t xml:space="preserve">Assets</t>
  </si>
  <si>
    <t xml:space="preserve">Liabilities &amp; Equity</t>
  </si>
  <si>
    <t xml:space="preserve">Total Current Liabilities</t>
  </si>
  <si>
    <t xml:space="preserve">Total Current Assets</t>
  </si>
  <si>
    <t xml:space="preserve">Total Liabilities</t>
  </si>
  <si>
    <t xml:space="preserve">Property, Plant &amp; Equipment (Gross)</t>
  </si>
  <si>
    <t xml:space="preserve">Less: Accumulated Depreciation</t>
  </si>
  <si>
    <t xml:space="preserve">Net PPE</t>
  </si>
  <si>
    <t xml:space="preserve">Opening Retained Earnings</t>
  </si>
  <si>
    <t xml:space="preserve">Current-Year Profit</t>
  </si>
  <si>
    <t xml:space="preserve">Total Assets</t>
  </si>
  <si>
    <t xml:space="preserve">Total Equity</t>
  </si>
  <si>
    <t xml:space="preserve">Total Liabilities + Equity</t>
  </si>
  <si>
    <t xml:space="preserve">Assets = Liabilities + Equity. If Total Assets (left) does not equal Total Liabilities + Equity (right), a Controller investigates the gap via reconciliation, journal entries, opening balances or suspense accounts — see Tab 7: Control Checks.</t>
  </si>
  <si>
    <t xml:space="preserve">Ratios &amp; Working Capital Analysis</t>
  </si>
  <si>
    <t xml:space="preserve">Metric</t>
  </si>
  <si>
    <t xml:space="preserve">Value</t>
  </si>
  <si>
    <t xml:space="preserve">Gross Margin</t>
  </si>
  <si>
    <t xml:space="preserve">EBITDA Margin</t>
  </si>
  <si>
    <t xml:space="preserve">EBIT Margin</t>
  </si>
  <si>
    <t xml:space="preserve">Net Profit Margin</t>
  </si>
  <si>
    <t xml:space="preserve">Working Capital (Current Assets - Current Liabilities)</t>
  </si>
  <si>
    <t xml:space="preserve">Current Ratio (Current Assets / Current Liabilities)</t>
  </si>
  <si>
    <t xml:space="preserve">Debt-to-Equity (Long-Term Loan / Total Equity)</t>
  </si>
  <si>
    <t xml:space="preserve">Net Debt / EBITDA</t>
  </si>
  <si>
    <t xml:space="preserve">Controller interpretation: a healthy current ratio (&gt;1.5x) supports short-term solvency, but should be read alongside the quality of receivables and inventory — not on its own.</t>
  </si>
  <si>
    <t xml:space="preserve">Scenario: 'Revenue increased, so we must be performing better' — a Controller checks the variance first</t>
  </si>
  <si>
    <t xml:space="preserve">Prior Year (₹M)</t>
  </si>
  <si>
    <t xml:space="preserve">Current Year (₹M)</t>
  </si>
  <si>
    <t xml:space="preserve">Variance (₹M)</t>
  </si>
  <si>
    <t xml:space="preserve">Revenue grew ₹40M but Net Profit fell ₹3M. Root-cause checklist to walk through out loud in an interview: COGS increase → gross margin down · employee/opex increase → EBITDA down · higher depreciation → EBIT down · higher finance cost or tax → net profit down · one-off/exceptional items.</t>
  </si>
  <si>
    <t xml:space="preserve">Control Checks — every result below must equal zero</t>
  </si>
  <si>
    <t xml:space="preserve">Check</t>
  </si>
  <si>
    <t xml:space="preserve">Result</t>
  </si>
  <si>
    <t xml:space="preserve">Status</t>
  </si>
  <si>
    <t xml:space="preserve">Trial Balance (Raw) — Debit minus Credit</t>
  </si>
  <si>
    <t xml:space="preserve">Trial Balance (Corrected) — Debit minus Credit</t>
  </si>
  <si>
    <t xml:space="preserve">Balance Sheet — Total Assets minus (Liabilities + Equity)</t>
  </si>
  <si>
    <t xml:space="preserve">P&amp;L Tie-out — Revenue less all deductions minus Net Profit</t>
  </si>
  <si>
    <t xml:space="preserve">Interview point: the Raw Trial Balance shows INVESTIGATE by design (the missing ₹65M PPE). After that correction, a further ₹10M difference remains on both the Trial Balance and the Balance Sheet checks — also by design. Use this as a live practice exercise: trace which account is still misstated (a common answer is an unrecorded opening balance, dividend/drawing, or a missed accrual) rather than plugging the gap. The P&amp;L tie-out check is clean (OK) since it doesn't depend on this item.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</si>
</sst>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70"/>
    <col collapsed="false" customWidth="true" hidden="false" outlineLevel="0" max="4" min="4" style="1" width="4"/>
  </cols>
  <sheetData>
    <row r="2" customFormat="false" ht="21.7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s">
        <v>2</v>
      </c>
      <c r="C5" s="5" t="s">
        <v>3</v>
      </c>
    </row>
    <row r="6" customFormat="false" ht="30" hidden="false" customHeight="true" outlineLevel="0" collapsed="false">
      <c r="B6" s="4" t="s">
        <v>4</v>
      </c>
      <c r="C6" s="5" t="s">
        <v>5</v>
      </c>
    </row>
    <row r="7" customFormat="false" ht="7.5" hidden="false" customHeight="true" outlineLevel="0" collapsed="false">
      <c r="B7" s="6"/>
      <c r="C7" s="5"/>
    </row>
    <row r="8" customFormat="false" ht="30" hidden="false" customHeight="true" outlineLevel="0" collapsed="false">
      <c r="B8" s="4" t="s">
        <v>6</v>
      </c>
      <c r="C8" s="5" t="s">
        <v>7</v>
      </c>
    </row>
    <row r="9" customFormat="false" ht="30" hidden="false" customHeight="true" outlineLevel="0" collapsed="false">
      <c r="B9" s="6" t="s">
        <v>8</v>
      </c>
      <c r="C9" s="5" t="s">
        <v>9</v>
      </c>
    </row>
    <row r="10" customFormat="false" ht="30" hidden="false" customHeight="true" outlineLevel="0" collapsed="false">
      <c r="B10" s="6" t="s">
        <v>10</v>
      </c>
      <c r="C10" s="5" t="s">
        <v>11</v>
      </c>
    </row>
    <row r="11" customFormat="false" ht="30" hidden="false" customHeight="true" outlineLevel="0" collapsed="false">
      <c r="B11" s="6" t="s">
        <v>12</v>
      </c>
      <c r="C11" s="5" t="s">
        <v>13</v>
      </c>
    </row>
    <row r="12" customFormat="false" ht="30" hidden="false" customHeight="true" outlineLevel="0" collapsed="false">
      <c r="B12" s="6" t="s">
        <v>14</v>
      </c>
      <c r="C12" s="5" t="s">
        <v>15</v>
      </c>
    </row>
    <row r="13" customFormat="false" ht="30" hidden="false" customHeight="true" outlineLevel="0" collapsed="false">
      <c r="B13" s="6" t="s">
        <v>16</v>
      </c>
      <c r="C13" s="5" t="s">
        <v>17</v>
      </c>
    </row>
    <row r="14" customFormat="false" ht="30" hidden="false" customHeight="true" outlineLevel="0" collapsed="false">
      <c r="B14" s="6" t="s">
        <v>18</v>
      </c>
      <c r="C14" s="5" t="s">
        <v>19</v>
      </c>
    </row>
    <row r="15" customFormat="false" ht="30" hidden="false" customHeight="true" outlineLevel="0" collapsed="false">
      <c r="B15" s="6" t="s">
        <v>20</v>
      </c>
      <c r="C15" s="5" t="s">
        <v>21</v>
      </c>
    </row>
    <row r="16" customFormat="false" ht="7.5" hidden="false" customHeight="true" outlineLevel="0" collapsed="false">
      <c r="B16" s="6"/>
      <c r="C16" s="5"/>
    </row>
    <row r="17" customFormat="false" ht="30" hidden="false" customHeight="true" outlineLevel="0" collapsed="false">
      <c r="B17" s="4" t="s">
        <v>22</v>
      </c>
      <c r="C17" s="5" t="s">
        <v>23</v>
      </c>
    </row>
    <row r="18" customFormat="false" ht="30" hidden="false" customHeight="true" outlineLevel="0" collapsed="false">
      <c r="B18" s="4" t="s">
        <v>24</v>
      </c>
      <c r="C18" s="5" t="s">
        <v>25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</cols>
  <sheetData>
    <row r="2" customFormat="false" ht="21.75" hidden="false" customHeight="true" outlineLevel="0" collapsed="false">
      <c r="B2" s="2" t="s">
        <v>26</v>
      </c>
      <c r="C2" s="2"/>
      <c r="D2" s="2"/>
    </row>
    <row r="4" customFormat="false" ht="15" hidden="false" customHeight="true" outlineLevel="0" collapsed="false">
      <c r="B4" s="7" t="s">
        <v>27</v>
      </c>
      <c r="C4" s="7" t="s">
        <v>28</v>
      </c>
      <c r="D4" s="7" t="s">
        <v>29</v>
      </c>
    </row>
    <row r="5" customFormat="false" ht="15" hidden="false" customHeight="true" outlineLevel="0" collapsed="false">
      <c r="B5" s="6" t="s">
        <v>30</v>
      </c>
      <c r="C5" s="8" t="n">
        <v>25</v>
      </c>
      <c r="D5" s="9"/>
    </row>
    <row r="6" customFormat="false" ht="15" hidden="false" customHeight="true" outlineLevel="0" collapsed="false">
      <c r="B6" s="6" t="s">
        <v>31</v>
      </c>
      <c r="C6" s="8" t="n">
        <v>45</v>
      </c>
      <c r="D6" s="9"/>
    </row>
    <row r="7" customFormat="false" ht="15" hidden="false" customHeight="true" outlineLevel="0" collapsed="false">
      <c r="B7" s="6" t="s">
        <v>32</v>
      </c>
      <c r="C7" s="8" t="n">
        <v>60</v>
      </c>
      <c r="D7" s="9"/>
    </row>
    <row r="8" customFormat="false" ht="15" hidden="false" customHeight="true" outlineLevel="0" collapsed="false">
      <c r="B8" s="6" t="s">
        <v>33</v>
      </c>
      <c r="C8" s="8" t="n">
        <v>10</v>
      </c>
      <c r="D8" s="9"/>
    </row>
    <row r="9" customFormat="false" ht="15" hidden="false" customHeight="true" outlineLevel="0" collapsed="false">
      <c r="B9" s="6" t="s">
        <v>34</v>
      </c>
      <c r="C9" s="8" t="n">
        <v>150</v>
      </c>
      <c r="D9" s="9"/>
    </row>
    <row r="10" customFormat="false" ht="15" hidden="false" customHeight="true" outlineLevel="0" collapsed="false">
      <c r="B10" s="6" t="s">
        <v>35</v>
      </c>
      <c r="C10" s="9"/>
      <c r="D10" s="8" t="n">
        <v>30</v>
      </c>
    </row>
    <row r="11" customFormat="false" ht="15" hidden="false" customHeight="true" outlineLevel="0" collapsed="false">
      <c r="B11" s="6" t="s">
        <v>36</v>
      </c>
      <c r="C11" s="9"/>
      <c r="D11" s="8" t="n">
        <v>50</v>
      </c>
    </row>
    <row r="12" customFormat="false" ht="15" hidden="false" customHeight="true" outlineLevel="0" collapsed="false">
      <c r="B12" s="6" t="s">
        <v>37</v>
      </c>
      <c r="C12" s="9"/>
      <c r="D12" s="8" t="n">
        <v>15</v>
      </c>
    </row>
    <row r="13" customFormat="false" ht="15" hidden="false" customHeight="true" outlineLevel="0" collapsed="false">
      <c r="B13" s="6" t="s">
        <v>38</v>
      </c>
      <c r="C13" s="9"/>
      <c r="D13" s="8" t="n">
        <v>80</v>
      </c>
    </row>
    <row r="14" customFormat="false" ht="15" hidden="false" customHeight="true" outlineLevel="0" collapsed="false">
      <c r="B14" s="6" t="s">
        <v>39</v>
      </c>
      <c r="C14" s="9"/>
      <c r="D14" s="8" t="n">
        <v>100</v>
      </c>
    </row>
    <row r="15" customFormat="false" ht="15" hidden="false" customHeight="true" outlineLevel="0" collapsed="false">
      <c r="B15" s="6" t="s">
        <v>40</v>
      </c>
      <c r="C15" s="9"/>
      <c r="D15" s="8" t="n">
        <v>25</v>
      </c>
    </row>
    <row r="16" customFormat="false" ht="15" hidden="false" customHeight="true" outlineLevel="0" collapsed="false">
      <c r="B16" s="6" t="s">
        <v>41</v>
      </c>
      <c r="C16" s="9"/>
      <c r="D16" s="8" t="n">
        <v>300</v>
      </c>
    </row>
    <row r="17" customFormat="false" ht="15" hidden="false" customHeight="true" outlineLevel="0" collapsed="false">
      <c r="B17" s="6" t="s">
        <v>42</v>
      </c>
      <c r="C17" s="8" t="n">
        <v>170</v>
      </c>
      <c r="D17" s="9"/>
    </row>
    <row r="18" customFormat="false" ht="15" hidden="false" customHeight="true" outlineLevel="0" collapsed="false">
      <c r="B18" s="6" t="s">
        <v>43</v>
      </c>
      <c r="C18" s="8" t="n">
        <v>35</v>
      </c>
      <c r="D18" s="9"/>
    </row>
    <row r="19" customFormat="false" ht="15" hidden="false" customHeight="true" outlineLevel="0" collapsed="false">
      <c r="B19" s="6" t="s">
        <v>44</v>
      </c>
      <c r="C19" s="8" t="n">
        <v>20</v>
      </c>
      <c r="D19" s="9"/>
    </row>
    <row r="20" customFormat="false" ht="15" hidden="false" customHeight="true" outlineLevel="0" collapsed="false">
      <c r="B20" s="6" t="s">
        <v>45</v>
      </c>
      <c r="C20" s="8" t="n">
        <v>15</v>
      </c>
      <c r="D20" s="9"/>
    </row>
    <row r="21" customFormat="false" ht="15" hidden="false" customHeight="true" outlineLevel="0" collapsed="false">
      <c r="B21" s="6" t="s">
        <v>46</v>
      </c>
      <c r="C21" s="8" t="n">
        <v>8</v>
      </c>
      <c r="D21" s="9"/>
    </row>
    <row r="22" customFormat="false" ht="15" hidden="false" customHeight="true" outlineLevel="0" collapsed="false">
      <c r="B22" s="6" t="s">
        <v>47</v>
      </c>
      <c r="C22" s="8" t="n">
        <v>7</v>
      </c>
      <c r="D22" s="9"/>
    </row>
    <row r="23" customFormat="false" ht="15" hidden="false" customHeight="true" outlineLevel="0" collapsed="false">
      <c r="B23" s="4" t="s">
        <v>48</v>
      </c>
      <c r="C23" s="10" t="n">
        <f aca="false">SUM(C5:C22)</f>
        <v>545</v>
      </c>
      <c r="D23" s="10" t="n">
        <f aca="false">SUM(D5:D22)</f>
        <v>600</v>
      </c>
    </row>
    <row r="25" customFormat="false" ht="15" hidden="false" customHeight="true" outlineLevel="0" collapsed="false">
      <c r="B25" s="4" t="s">
        <v>49</v>
      </c>
      <c r="C25" s="11" t="n">
        <f aca="false">C23-D23</f>
        <v>-55</v>
      </c>
    </row>
    <row r="27" customFormat="false" ht="30" hidden="false" customHeight="true" outlineLevel="0" collapsed="false">
      <c r="B27" s="12" t="s">
        <v>50</v>
      </c>
      <c r="C27" s="12"/>
      <c r="D27" s="12"/>
    </row>
  </sheetData>
  <mergeCells count="2">
    <mergeCell ref="B2:D2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</cols>
  <sheetData>
    <row r="2" customFormat="false" ht="21.75" hidden="false" customHeight="true" outlineLevel="0" collapsed="false">
      <c r="B2" s="2" t="s">
        <v>51</v>
      </c>
      <c r="C2" s="2"/>
      <c r="D2" s="2"/>
    </row>
    <row r="4" customFormat="false" ht="15" hidden="false" customHeight="true" outlineLevel="0" collapsed="false">
      <c r="B4" s="7" t="s">
        <v>27</v>
      </c>
      <c r="C4" s="7" t="s">
        <v>28</v>
      </c>
      <c r="D4" s="7" t="s">
        <v>29</v>
      </c>
    </row>
    <row r="5" customFormat="false" ht="15" hidden="false" customHeight="true" outlineLevel="0" collapsed="false">
      <c r="B5" s="6" t="s">
        <v>30</v>
      </c>
      <c r="C5" s="8" t="n">
        <v>25</v>
      </c>
      <c r="D5" s="9"/>
    </row>
    <row r="6" customFormat="false" ht="15" hidden="false" customHeight="true" outlineLevel="0" collapsed="false">
      <c r="B6" s="6" t="s">
        <v>31</v>
      </c>
      <c r="C6" s="8" t="n">
        <v>45</v>
      </c>
      <c r="D6" s="9"/>
    </row>
    <row r="7" customFormat="false" ht="15" hidden="false" customHeight="true" outlineLevel="0" collapsed="false">
      <c r="B7" s="6" t="s">
        <v>32</v>
      </c>
      <c r="C7" s="8" t="n">
        <v>60</v>
      </c>
      <c r="D7" s="9"/>
    </row>
    <row r="8" customFormat="false" ht="15" hidden="false" customHeight="true" outlineLevel="0" collapsed="false">
      <c r="B8" s="6" t="s">
        <v>33</v>
      </c>
      <c r="C8" s="8" t="n">
        <v>10</v>
      </c>
      <c r="D8" s="9"/>
    </row>
    <row r="9" customFormat="false" ht="15" hidden="false" customHeight="true" outlineLevel="0" collapsed="false">
      <c r="B9" s="6" t="s">
        <v>34</v>
      </c>
      <c r="C9" s="8" t="n">
        <v>215</v>
      </c>
      <c r="D9" s="9"/>
    </row>
    <row r="10" customFormat="false" ht="15" hidden="false" customHeight="true" outlineLevel="0" collapsed="false">
      <c r="B10" s="6" t="s">
        <v>35</v>
      </c>
      <c r="C10" s="9"/>
      <c r="D10" s="8" t="n">
        <v>30</v>
      </c>
    </row>
    <row r="11" customFormat="false" ht="15" hidden="false" customHeight="true" outlineLevel="0" collapsed="false">
      <c r="B11" s="6" t="s">
        <v>36</v>
      </c>
      <c r="C11" s="9"/>
      <c r="D11" s="8" t="n">
        <v>50</v>
      </c>
    </row>
    <row r="12" customFormat="false" ht="15" hidden="false" customHeight="true" outlineLevel="0" collapsed="false">
      <c r="B12" s="6" t="s">
        <v>37</v>
      </c>
      <c r="C12" s="9"/>
      <c r="D12" s="8" t="n">
        <v>15</v>
      </c>
    </row>
    <row r="13" customFormat="false" ht="15" hidden="false" customHeight="true" outlineLevel="0" collapsed="false">
      <c r="B13" s="6" t="s">
        <v>38</v>
      </c>
      <c r="C13" s="9"/>
      <c r="D13" s="8" t="n">
        <v>80</v>
      </c>
    </row>
    <row r="14" customFormat="false" ht="15" hidden="false" customHeight="true" outlineLevel="0" collapsed="false">
      <c r="B14" s="6" t="s">
        <v>39</v>
      </c>
      <c r="C14" s="9"/>
      <c r="D14" s="8" t="n">
        <v>100</v>
      </c>
    </row>
    <row r="15" customFormat="false" ht="15" hidden="false" customHeight="true" outlineLevel="0" collapsed="false">
      <c r="B15" s="6" t="s">
        <v>40</v>
      </c>
      <c r="C15" s="9"/>
      <c r="D15" s="8" t="n">
        <v>25</v>
      </c>
    </row>
    <row r="16" customFormat="false" ht="15" hidden="false" customHeight="true" outlineLevel="0" collapsed="false">
      <c r="B16" s="6" t="s">
        <v>41</v>
      </c>
      <c r="C16" s="9"/>
      <c r="D16" s="8" t="n">
        <v>300</v>
      </c>
    </row>
    <row r="17" customFormat="false" ht="15" hidden="false" customHeight="true" outlineLevel="0" collapsed="false">
      <c r="B17" s="6" t="s">
        <v>42</v>
      </c>
      <c r="C17" s="8" t="n">
        <v>170</v>
      </c>
      <c r="D17" s="9"/>
    </row>
    <row r="18" customFormat="false" ht="15" hidden="false" customHeight="true" outlineLevel="0" collapsed="false">
      <c r="B18" s="6" t="s">
        <v>43</v>
      </c>
      <c r="C18" s="8" t="n">
        <v>35</v>
      </c>
      <c r="D18" s="9"/>
    </row>
    <row r="19" customFormat="false" ht="15" hidden="false" customHeight="true" outlineLevel="0" collapsed="false">
      <c r="B19" s="6" t="s">
        <v>44</v>
      </c>
      <c r="C19" s="8" t="n">
        <v>20</v>
      </c>
      <c r="D19" s="9"/>
    </row>
    <row r="20" customFormat="false" ht="15" hidden="false" customHeight="true" outlineLevel="0" collapsed="false">
      <c r="B20" s="6" t="s">
        <v>45</v>
      </c>
      <c r="C20" s="8" t="n">
        <v>15</v>
      </c>
      <c r="D20" s="9"/>
    </row>
    <row r="21" customFormat="false" ht="15" hidden="false" customHeight="true" outlineLevel="0" collapsed="false">
      <c r="B21" s="6" t="s">
        <v>46</v>
      </c>
      <c r="C21" s="8" t="n">
        <v>8</v>
      </c>
      <c r="D21" s="9"/>
    </row>
    <row r="22" customFormat="false" ht="15" hidden="false" customHeight="true" outlineLevel="0" collapsed="false">
      <c r="B22" s="6" t="s">
        <v>47</v>
      </c>
      <c r="C22" s="8" t="n">
        <v>7</v>
      </c>
      <c r="D22" s="9"/>
    </row>
    <row r="23" customFormat="false" ht="15" hidden="false" customHeight="true" outlineLevel="0" collapsed="false">
      <c r="B23" s="4" t="s">
        <v>48</v>
      </c>
      <c r="C23" s="10" t="n">
        <f aca="false">SUM(C5:C22)</f>
        <v>610</v>
      </c>
      <c r="D23" s="10" t="n">
        <f aca="false">SUM(D5:D22)</f>
        <v>600</v>
      </c>
    </row>
    <row r="25" customFormat="false" ht="30" hidden="false" customHeight="true" outlineLevel="0" collapsed="false">
      <c r="B25" s="12" t="s">
        <v>52</v>
      </c>
      <c r="C25" s="12"/>
      <c r="D25" s="12"/>
    </row>
  </sheetData>
  <mergeCells count="2">
    <mergeCell ref="B2:D2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3"/>
  </cols>
  <sheetData>
    <row r="2" customFormat="false" ht="21.75" hidden="false" customHeight="true" outlineLevel="0" collapsed="false">
      <c r="B2" s="2" t="s">
        <v>53</v>
      </c>
      <c r="C2" s="2"/>
      <c r="D2" s="2"/>
    </row>
    <row r="4" customFormat="false" ht="15" hidden="false" customHeight="true" outlineLevel="0" collapsed="false">
      <c r="B4" s="7" t="s">
        <v>54</v>
      </c>
      <c r="C4" s="7" t="s">
        <v>55</v>
      </c>
      <c r="D4" s="7" t="s">
        <v>56</v>
      </c>
    </row>
    <row r="5" customFormat="false" ht="15" hidden="false" customHeight="true" outlineLevel="0" collapsed="false">
      <c r="B5" s="6" t="s">
        <v>41</v>
      </c>
      <c r="C5" s="13" t="n">
        <f aca="false">'2. Trial Balance (Corrected)'!D16</f>
        <v>300</v>
      </c>
      <c r="D5" s="14" t="n">
        <f aca="false">C5/$C$5</f>
        <v>1</v>
      </c>
    </row>
    <row r="6" customFormat="false" ht="15" hidden="false" customHeight="true" outlineLevel="0" collapsed="false">
      <c r="B6" s="6" t="s">
        <v>57</v>
      </c>
      <c r="C6" s="13" t="n">
        <f aca="false">-'2. Trial Balance (Corrected)'!C17</f>
        <v>-170</v>
      </c>
    </row>
    <row r="7" customFormat="false" ht="15" hidden="false" customHeight="true" outlineLevel="0" collapsed="false">
      <c r="B7" s="4" t="s">
        <v>58</v>
      </c>
      <c r="C7" s="15" t="n">
        <f aca="false">C5+C6</f>
        <v>130</v>
      </c>
      <c r="D7" s="14" t="n">
        <f aca="false">C7/$C$5</f>
        <v>0.433333333333333</v>
      </c>
    </row>
    <row r="9" customFormat="false" ht="15" hidden="false" customHeight="true" outlineLevel="0" collapsed="false">
      <c r="B9" s="6" t="s">
        <v>59</v>
      </c>
      <c r="C9" s="13" t="n">
        <f aca="false">-'2. Trial Balance (Corrected)'!C18</f>
        <v>-35</v>
      </c>
    </row>
    <row r="10" customFormat="false" ht="15" hidden="false" customHeight="true" outlineLevel="0" collapsed="false">
      <c r="B10" s="6" t="s">
        <v>60</v>
      </c>
      <c r="C10" s="13" t="n">
        <f aca="false">-'2. Trial Balance (Corrected)'!C19</f>
        <v>-20</v>
      </c>
    </row>
    <row r="11" customFormat="false" ht="15" hidden="false" customHeight="true" outlineLevel="0" collapsed="false">
      <c r="B11" s="4" t="s">
        <v>61</v>
      </c>
      <c r="C11" s="15" t="n">
        <f aca="false">C7+C9+C10</f>
        <v>75</v>
      </c>
      <c r="D11" s="14" t="n">
        <f aca="false">C11/$C$5</f>
        <v>0.25</v>
      </c>
    </row>
    <row r="13" customFormat="false" ht="15" hidden="false" customHeight="true" outlineLevel="0" collapsed="false">
      <c r="B13" s="6" t="s">
        <v>62</v>
      </c>
      <c r="C13" s="13" t="n">
        <f aca="false">-'2. Trial Balance (Corrected)'!C20</f>
        <v>-15</v>
      </c>
    </row>
    <row r="14" customFormat="false" ht="15" hidden="false" customHeight="true" outlineLevel="0" collapsed="false">
      <c r="B14" s="4" t="s">
        <v>63</v>
      </c>
      <c r="C14" s="15" t="n">
        <f aca="false">C11+C13</f>
        <v>60</v>
      </c>
      <c r="D14" s="14" t="n">
        <f aca="false">C14/$C$5</f>
        <v>0.2</v>
      </c>
    </row>
    <row r="16" customFormat="false" ht="15" hidden="false" customHeight="true" outlineLevel="0" collapsed="false">
      <c r="B16" s="6" t="s">
        <v>64</v>
      </c>
      <c r="C16" s="13" t="n">
        <f aca="false">-'2. Trial Balance (Corrected)'!C21</f>
        <v>-8</v>
      </c>
    </row>
    <row r="17" customFormat="false" ht="15" hidden="false" customHeight="true" outlineLevel="0" collapsed="false">
      <c r="B17" s="4" t="s">
        <v>65</v>
      </c>
      <c r="C17" s="15" t="n">
        <f aca="false">C14+C16</f>
        <v>52</v>
      </c>
      <c r="D17" s="14" t="n">
        <f aca="false">C17/$C$5</f>
        <v>0.173333333333333</v>
      </c>
    </row>
    <row r="19" customFormat="false" ht="15" hidden="false" customHeight="true" outlineLevel="0" collapsed="false">
      <c r="B19" s="6" t="s">
        <v>66</v>
      </c>
      <c r="C19" s="13" t="n">
        <f aca="false">-'2. Trial Balance (Corrected)'!C22</f>
        <v>-7</v>
      </c>
    </row>
    <row r="20" customFormat="false" ht="15" hidden="false" customHeight="true" outlineLevel="0" collapsed="false">
      <c r="B20" s="4" t="s">
        <v>67</v>
      </c>
      <c r="C20" s="15" t="n">
        <f aca="false">C17+C19</f>
        <v>45</v>
      </c>
      <c r="D20" s="14" t="n">
        <f aca="false">C20/$C$5</f>
        <v>0.15</v>
      </c>
    </row>
    <row r="23" customFormat="false" ht="30" hidden="false" customHeight="true" outlineLevel="0" collapsed="false">
      <c r="B23" s="12" t="s">
        <v>68</v>
      </c>
      <c r="C23" s="12"/>
      <c r="D23" s="12"/>
    </row>
  </sheetData>
  <mergeCells count="2">
    <mergeCell ref="B2:D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3"/>
    <col collapsed="false" customWidth="true" hidden="false" outlineLevel="0" max="5" min="5" style="1" width="34"/>
    <col collapsed="false" customWidth="true" hidden="false" outlineLevel="0" max="6" min="6" style="1" width="16"/>
    <col collapsed="false" customWidth="true" hidden="false" outlineLevel="0" max="7" min="7" style="1" width="3"/>
  </cols>
  <sheetData>
    <row r="2" customFormat="false" ht="21.75" hidden="false" customHeight="true" outlineLevel="0" collapsed="false">
      <c r="B2" s="2" t="s">
        <v>69</v>
      </c>
      <c r="C2" s="2"/>
      <c r="E2" s="2" t="s">
        <v>70</v>
      </c>
      <c r="F2" s="2"/>
    </row>
    <row r="4" customFormat="false" ht="15" hidden="false" customHeight="true" outlineLevel="0" collapsed="false">
      <c r="B4" s="7" t="s">
        <v>71</v>
      </c>
      <c r="C4" s="7" t="s">
        <v>55</v>
      </c>
      <c r="E4" s="7" t="s">
        <v>72</v>
      </c>
      <c r="F4" s="7" t="s">
        <v>55</v>
      </c>
    </row>
    <row r="5" customFormat="false" ht="15" hidden="false" customHeight="true" outlineLevel="0" collapsed="false">
      <c r="B5" s="6" t="s">
        <v>30</v>
      </c>
      <c r="C5" s="13" t="n">
        <f aca="false">'2. Trial Balance (Corrected)'!C5</f>
        <v>25</v>
      </c>
      <c r="E5" s="6" t="s">
        <v>36</v>
      </c>
      <c r="F5" s="13" t="n">
        <f aca="false">'2. Trial Balance (Corrected)'!D11</f>
        <v>50</v>
      </c>
    </row>
    <row r="6" customFormat="false" ht="15" hidden="false" customHeight="true" outlineLevel="0" collapsed="false">
      <c r="B6" s="6" t="s">
        <v>31</v>
      </c>
      <c r="C6" s="13" t="n">
        <f aca="false">'2. Trial Balance (Corrected)'!C6</f>
        <v>45</v>
      </c>
      <c r="E6" s="6" t="s">
        <v>37</v>
      </c>
      <c r="F6" s="13" t="n">
        <f aca="false">'2. Trial Balance (Corrected)'!D12</f>
        <v>15</v>
      </c>
    </row>
    <row r="7" customFormat="false" ht="15" hidden="false" customHeight="true" outlineLevel="0" collapsed="false">
      <c r="B7" s="6" t="s">
        <v>32</v>
      </c>
      <c r="C7" s="13" t="n">
        <f aca="false">'2. Trial Balance (Corrected)'!C7</f>
        <v>60</v>
      </c>
      <c r="E7" s="4" t="s">
        <v>73</v>
      </c>
      <c r="F7" s="15" t="n">
        <f aca="false">SUM(F5:F6)</f>
        <v>65</v>
      </c>
    </row>
    <row r="8" customFormat="false" ht="15" hidden="false" customHeight="true" outlineLevel="0" collapsed="false">
      <c r="B8" s="6" t="s">
        <v>33</v>
      </c>
      <c r="C8" s="13" t="n">
        <f aca="false">'2. Trial Balance (Corrected)'!C8</f>
        <v>10</v>
      </c>
    </row>
    <row r="9" customFormat="false" ht="15" hidden="false" customHeight="true" outlineLevel="0" collapsed="false">
      <c r="B9" s="4" t="s">
        <v>74</v>
      </c>
      <c r="C9" s="15" t="n">
        <f aca="false">SUM(C5:C8)</f>
        <v>140</v>
      </c>
      <c r="E9" s="6" t="s">
        <v>38</v>
      </c>
      <c r="F9" s="13" t="n">
        <f aca="false">'2. Trial Balance (Corrected)'!D13</f>
        <v>80</v>
      </c>
    </row>
    <row r="10" customFormat="false" ht="15" hidden="false" customHeight="true" outlineLevel="0" collapsed="false">
      <c r="E10" s="4" t="s">
        <v>75</v>
      </c>
      <c r="F10" s="15" t="n">
        <f aca="false">F7+F9</f>
        <v>145</v>
      </c>
    </row>
    <row r="11" customFormat="false" ht="15" hidden="false" customHeight="true" outlineLevel="0" collapsed="false">
      <c r="B11" s="6" t="s">
        <v>76</v>
      </c>
      <c r="C11" s="13" t="n">
        <f aca="false">'2. Trial Balance (Corrected)'!C9</f>
        <v>215</v>
      </c>
    </row>
    <row r="12" customFormat="false" ht="15" hidden="false" customHeight="true" outlineLevel="0" collapsed="false">
      <c r="B12" s="6" t="s">
        <v>77</v>
      </c>
      <c r="C12" s="13" t="n">
        <f aca="false">-'2. Trial Balance (Corrected)'!D10</f>
        <v>-30</v>
      </c>
      <c r="E12" s="6" t="s">
        <v>39</v>
      </c>
      <c r="F12" s="13" t="n">
        <f aca="false">'2. Trial Balance (Corrected)'!D14</f>
        <v>100</v>
      </c>
    </row>
    <row r="13" customFormat="false" ht="15" hidden="false" customHeight="true" outlineLevel="0" collapsed="false">
      <c r="B13" s="4" t="s">
        <v>78</v>
      </c>
      <c r="C13" s="15" t="n">
        <f aca="false">C11+C12</f>
        <v>185</v>
      </c>
      <c r="E13" s="6" t="s">
        <v>79</v>
      </c>
      <c r="F13" s="13" t="n">
        <f aca="false">'2. Trial Balance (Corrected)'!D15</f>
        <v>25</v>
      </c>
    </row>
    <row r="14" customFormat="false" ht="15" hidden="false" customHeight="true" outlineLevel="0" collapsed="false">
      <c r="E14" s="6" t="s">
        <v>80</v>
      </c>
      <c r="F14" s="13" t="n">
        <f aca="false">'3. P&amp;L'!C20</f>
        <v>45</v>
      </c>
    </row>
    <row r="15" customFormat="false" ht="15" hidden="false" customHeight="true" outlineLevel="0" collapsed="false">
      <c r="B15" s="4" t="s">
        <v>81</v>
      </c>
      <c r="C15" s="15" t="n">
        <f aca="false">C9+C13</f>
        <v>325</v>
      </c>
      <c r="E15" s="4" t="s">
        <v>82</v>
      </c>
      <c r="F15" s="15" t="n">
        <f aca="false">F12+F13+F14</f>
        <v>170</v>
      </c>
    </row>
    <row r="17" customFormat="false" ht="15" hidden="false" customHeight="true" outlineLevel="0" collapsed="false">
      <c r="E17" s="4" t="s">
        <v>83</v>
      </c>
      <c r="F17" s="15" t="n">
        <f aca="false">F10+F15</f>
        <v>315</v>
      </c>
    </row>
    <row r="19" customFormat="false" ht="39.75" hidden="false" customHeight="true" outlineLevel="0" collapsed="false">
      <c r="B19" s="12" t="s">
        <v>84</v>
      </c>
      <c r="C19" s="12"/>
      <c r="D19" s="12"/>
      <c r="E19" s="12"/>
      <c r="F19" s="12"/>
    </row>
  </sheetData>
  <mergeCells count="3">
    <mergeCell ref="B2:C2"/>
    <mergeCell ref="E2:F2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3"/>
  </cols>
  <sheetData>
    <row r="2" customFormat="false" ht="21.75" hidden="false" customHeight="true" outlineLevel="0" collapsed="false">
      <c r="B2" s="2" t="s">
        <v>85</v>
      </c>
      <c r="C2" s="2"/>
    </row>
    <row r="4" customFormat="false" ht="15" hidden="false" customHeight="true" outlineLevel="0" collapsed="false">
      <c r="B4" s="7" t="s">
        <v>86</v>
      </c>
      <c r="C4" s="7" t="s">
        <v>87</v>
      </c>
    </row>
    <row r="5" customFormat="false" ht="15" hidden="false" customHeight="true" outlineLevel="0" collapsed="false">
      <c r="B5" s="4" t="s">
        <v>88</v>
      </c>
      <c r="C5" s="16" t="n">
        <f aca="false">'3. P&amp;L'!C7/'3. P&amp;L'!C5</f>
        <v>0.433333333333333</v>
      </c>
    </row>
    <row r="6" customFormat="false" ht="15" hidden="false" customHeight="true" outlineLevel="0" collapsed="false">
      <c r="B6" s="4" t="s">
        <v>89</v>
      </c>
      <c r="C6" s="16" t="n">
        <f aca="false">'3. P&amp;L'!C11/'3. P&amp;L'!C5</f>
        <v>0.25</v>
      </c>
    </row>
    <row r="7" customFormat="false" ht="15" hidden="false" customHeight="true" outlineLevel="0" collapsed="false">
      <c r="B7" s="4" t="s">
        <v>90</v>
      </c>
      <c r="C7" s="16" t="n">
        <f aca="false">'3. P&amp;L'!C14/'3. P&amp;L'!C5</f>
        <v>0.2</v>
      </c>
    </row>
    <row r="8" customFormat="false" ht="15" hidden="false" customHeight="true" outlineLevel="0" collapsed="false">
      <c r="B8" s="4" t="s">
        <v>91</v>
      </c>
      <c r="C8" s="16" t="n">
        <f aca="false">'3. P&amp;L'!C20/'3. P&amp;L'!C5</f>
        <v>0.15</v>
      </c>
    </row>
    <row r="10" customFormat="false" ht="15" hidden="false" customHeight="true" outlineLevel="0" collapsed="false">
      <c r="B10" s="4" t="s">
        <v>92</v>
      </c>
      <c r="C10" s="13" t="n">
        <f aca="false">'4. Balance Sheet'!C9-'4. Balance Sheet'!F7</f>
        <v>75</v>
      </c>
    </row>
    <row r="11" customFormat="false" ht="15" hidden="false" customHeight="true" outlineLevel="0" collapsed="false">
      <c r="B11" s="4" t="s">
        <v>93</v>
      </c>
      <c r="C11" s="17" t="n">
        <f aca="false">'4. Balance Sheet'!C9/'4. Balance Sheet'!F7</f>
        <v>2.15384615384615</v>
      </c>
    </row>
    <row r="13" customFormat="false" ht="15" hidden="false" customHeight="true" outlineLevel="0" collapsed="false">
      <c r="B13" s="4" t="s">
        <v>94</v>
      </c>
      <c r="C13" s="17" t="n">
        <f aca="false">'2. Trial Balance (Corrected)'!D13/'4. Balance Sheet'!F15</f>
        <v>0.470588235294118</v>
      </c>
    </row>
    <row r="14" customFormat="false" ht="15" hidden="false" customHeight="true" outlineLevel="0" collapsed="false">
      <c r="B14" s="4" t="s">
        <v>95</v>
      </c>
      <c r="C14" s="17" t="n">
        <f aca="false">('2. Trial Balance (Corrected)'!D13-'4. Balance Sheet'!C5)/'3. P&amp;L'!C11</f>
        <v>0.733333333333333</v>
      </c>
    </row>
    <row r="17" customFormat="false" ht="30" hidden="false" customHeight="true" outlineLevel="0" collapsed="false">
      <c r="B17" s="12" t="s">
        <v>96</v>
      </c>
      <c r="C17" s="12"/>
    </row>
  </sheetData>
  <mergeCells count="2">
    <mergeCell ref="B2:C2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5"/>
    <col collapsed="false" customWidth="true" hidden="false" outlineLevel="0" max="6" min="6" style="1" width="3"/>
  </cols>
  <sheetData>
    <row r="2" customFormat="false" ht="21.75" hidden="false" customHeight="true" outlineLevel="0" collapsed="false">
      <c r="B2" s="2" t="s">
        <v>97</v>
      </c>
      <c r="C2" s="2"/>
      <c r="D2" s="2"/>
      <c r="E2" s="2"/>
    </row>
    <row r="4" customFormat="false" ht="15" hidden="false" customHeight="true" outlineLevel="0" collapsed="false">
      <c r="B4" s="7" t="s">
        <v>86</v>
      </c>
      <c r="C4" s="7" t="s">
        <v>98</v>
      </c>
      <c r="D4" s="7" t="s">
        <v>99</v>
      </c>
      <c r="E4" s="7" t="s">
        <v>100</v>
      </c>
    </row>
    <row r="5" customFormat="false" ht="15" hidden="false" customHeight="true" outlineLevel="0" collapsed="false">
      <c r="B5" s="4" t="s">
        <v>41</v>
      </c>
      <c r="C5" s="8" t="n">
        <v>260</v>
      </c>
      <c r="D5" s="8" t="n">
        <v>300</v>
      </c>
      <c r="E5" s="13" t="n">
        <f aca="false">D5-C5</f>
        <v>40</v>
      </c>
    </row>
    <row r="6" customFormat="false" ht="15" hidden="false" customHeight="true" outlineLevel="0" collapsed="false">
      <c r="B6" s="6" t="s">
        <v>58</v>
      </c>
      <c r="C6" s="8" t="n">
        <v>120</v>
      </c>
      <c r="D6" s="8" t="n">
        <v>130</v>
      </c>
      <c r="E6" s="13" t="n">
        <f aca="false">D6-C6</f>
        <v>10</v>
      </c>
    </row>
    <row r="7" customFormat="false" ht="15" hidden="false" customHeight="true" outlineLevel="0" collapsed="false">
      <c r="B7" s="6" t="s">
        <v>61</v>
      </c>
      <c r="C7" s="8" t="n">
        <v>70</v>
      </c>
      <c r="D7" s="8" t="n">
        <v>75</v>
      </c>
      <c r="E7" s="13" t="n">
        <f aca="false">D7-C7</f>
        <v>5</v>
      </c>
    </row>
    <row r="8" customFormat="false" ht="15" hidden="false" customHeight="true" outlineLevel="0" collapsed="false">
      <c r="B8" s="6" t="s">
        <v>63</v>
      </c>
      <c r="C8" s="8" t="n">
        <v>58</v>
      </c>
      <c r="D8" s="8" t="n">
        <v>60</v>
      </c>
      <c r="E8" s="13" t="n">
        <f aca="false">D8-C8</f>
        <v>2</v>
      </c>
    </row>
    <row r="9" customFormat="false" ht="15" hidden="false" customHeight="true" outlineLevel="0" collapsed="false">
      <c r="B9" s="4" t="s">
        <v>67</v>
      </c>
      <c r="C9" s="8" t="n">
        <v>48</v>
      </c>
      <c r="D9" s="8" t="n">
        <v>45</v>
      </c>
      <c r="E9" s="13" t="n">
        <f aca="false">D9-C9</f>
        <v>-3</v>
      </c>
    </row>
    <row r="12" customFormat="false" ht="45" hidden="false" customHeight="true" outlineLevel="0" collapsed="false">
      <c r="B12" s="12" t="s">
        <v>101</v>
      </c>
      <c r="C12" s="12"/>
      <c r="D12" s="12"/>
      <c r="E12" s="12"/>
    </row>
  </sheetData>
  <mergeCells count="2">
    <mergeCell ref="B2:E2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16"/>
    <col collapsed="false" customWidth="true" hidden="false" outlineLevel="0" max="5" min="5" style="1" width="3"/>
  </cols>
  <sheetData>
    <row r="2" customFormat="false" ht="21.75" hidden="false" customHeight="true" outlineLevel="0" collapsed="false">
      <c r="B2" s="2" t="s">
        <v>102</v>
      </c>
      <c r="C2" s="2"/>
      <c r="D2" s="2"/>
    </row>
    <row r="4" customFormat="false" ht="15" hidden="false" customHeight="true" outlineLevel="0" collapsed="false">
      <c r="B4" s="7" t="s">
        <v>103</v>
      </c>
      <c r="C4" s="7" t="s">
        <v>104</v>
      </c>
      <c r="D4" s="7" t="s">
        <v>105</v>
      </c>
    </row>
    <row r="5" customFormat="false" ht="15" hidden="false" customHeight="true" outlineLevel="0" collapsed="false">
      <c r="B5" s="6" t="s">
        <v>106</v>
      </c>
      <c r="C5" s="18" t="n">
        <f aca="false">'1. Trial Balance (Raw)'!C23-'1. Trial Balance (Raw)'!D23</f>
        <v>-55</v>
      </c>
      <c r="D5" s="19" t="str">
        <f aca="false">IF(C5=0,"OK","INVESTIGATE")</f>
        <v>INVESTIGATE</v>
      </c>
    </row>
    <row r="6" customFormat="false" ht="15" hidden="false" customHeight="true" outlineLevel="0" collapsed="false">
      <c r="B6" s="6" t="s">
        <v>107</v>
      </c>
      <c r="C6" s="18" t="n">
        <f aca="false">'2. Trial Balance (Corrected)'!C23-'2. Trial Balance (Corrected)'!D23</f>
        <v>10</v>
      </c>
      <c r="D6" s="19" t="str">
        <f aca="false">IF(C6=0,"OK","INVESTIGATE")</f>
        <v>INVESTIGATE</v>
      </c>
    </row>
    <row r="7" customFormat="false" ht="15" hidden="false" customHeight="true" outlineLevel="0" collapsed="false">
      <c r="B7" s="6" t="s">
        <v>108</v>
      </c>
      <c r="C7" s="18" t="n">
        <f aca="false">'4. Balance Sheet'!C15-'4. Balance Sheet'!F17</f>
        <v>10</v>
      </c>
      <c r="D7" s="19" t="str">
        <f aca="false">IF(C7=0,"OK","INVESTIGATE")</f>
        <v>INVESTIGATE</v>
      </c>
    </row>
    <row r="8" customFormat="false" ht="15" hidden="false" customHeight="true" outlineLevel="0" collapsed="false">
      <c r="B8" s="6" t="s">
        <v>109</v>
      </c>
      <c r="C8" s="18" t="n">
        <f aca="false">('3. P&amp;L'!C5-'3. P&amp;L'!C7+'3. P&amp;L'!C7-'3. P&amp;L'!C11+'3. P&amp;L'!C11-'3. P&amp;L'!C14+'3. P&amp;L'!C14-'3. P&amp;L'!C17+'3. P&amp;L'!C17-'3. P&amp;L'!C20)-('3. P&amp;L'!C5-'3. P&amp;L'!C20)</f>
        <v>0</v>
      </c>
      <c r="D8" s="19" t="str">
        <f aca="false">IF(C8=0,"OK","INVESTIGATE")</f>
        <v>OK</v>
      </c>
    </row>
    <row r="11" customFormat="false" ht="39.75" hidden="false" customHeight="true" outlineLevel="0" collapsed="false">
      <c r="B11" s="12" t="s">
        <v>110</v>
      </c>
      <c r="C11" s="12"/>
      <c r="D11" s="12"/>
    </row>
  </sheetData>
  <mergeCells count="2">
    <mergeCell ref="B2:D2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2026-09-08T04:18:29Z</dcterms:created>
  <dc:creator>openpyxl</dc:creator>
  <dc:description/>
  <dc:language>en-US</dc:language>
  <cp:lastModifiedBy/>
  <dcterms:modified xsi:type="dcterms:W3CDTF">2026-09-08T04:19:16Z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